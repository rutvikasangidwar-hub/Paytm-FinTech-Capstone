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utvi\Downloads\"/>
    </mc:Choice>
  </mc:AlternateContent>
  <xr:revisionPtr revIDLastSave="0" documentId="13_ncr:1_{6251ED22-28C9-469F-ADE6-E760ECDAE4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rchants" sheetId="1" r:id="rId1"/>
    <sheet name="Transactions" sheetId="2" r:id="rId2"/>
    <sheet name="Look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48" i="2" l="1"/>
  <c r="J548" i="2"/>
  <c r="I548" i="2"/>
  <c r="K547" i="2"/>
  <c r="J547" i="2"/>
  <c r="I547" i="2"/>
  <c r="K546" i="2"/>
  <c r="J546" i="2"/>
  <c r="I546" i="2"/>
  <c r="K545" i="2"/>
  <c r="J545" i="2"/>
  <c r="I545" i="2"/>
  <c r="K544" i="2"/>
  <c r="J544" i="2"/>
  <c r="I544" i="2"/>
  <c r="K543" i="2"/>
  <c r="J543" i="2"/>
  <c r="I543" i="2"/>
  <c r="K542" i="2"/>
  <c r="J542" i="2"/>
  <c r="I542" i="2"/>
  <c r="K541" i="2"/>
  <c r="J541" i="2"/>
  <c r="I541" i="2"/>
  <c r="K540" i="2"/>
  <c r="J540" i="2"/>
  <c r="I540" i="2"/>
  <c r="K539" i="2"/>
  <c r="J539" i="2"/>
  <c r="I539" i="2"/>
  <c r="K538" i="2"/>
  <c r="J538" i="2"/>
  <c r="I538" i="2"/>
  <c r="K537" i="2"/>
  <c r="J537" i="2"/>
  <c r="I537" i="2"/>
  <c r="K536" i="2"/>
  <c r="J536" i="2"/>
  <c r="I536" i="2"/>
  <c r="K535" i="2"/>
  <c r="J535" i="2"/>
  <c r="I535" i="2"/>
  <c r="K534" i="2"/>
  <c r="J534" i="2"/>
  <c r="I534" i="2"/>
  <c r="K533" i="2"/>
  <c r="J533" i="2"/>
  <c r="I533" i="2"/>
  <c r="K532" i="2"/>
  <c r="J532" i="2"/>
  <c r="I532" i="2"/>
  <c r="K531" i="2"/>
  <c r="J531" i="2"/>
  <c r="I531" i="2"/>
  <c r="K530" i="2"/>
  <c r="J530" i="2"/>
  <c r="I530" i="2"/>
  <c r="K529" i="2"/>
  <c r="J529" i="2"/>
  <c r="I529" i="2"/>
  <c r="K528" i="2"/>
  <c r="J528" i="2"/>
  <c r="I528" i="2"/>
  <c r="K527" i="2"/>
  <c r="J527" i="2"/>
  <c r="I527" i="2"/>
  <c r="K526" i="2"/>
  <c r="J526" i="2"/>
  <c r="I526" i="2"/>
  <c r="K525" i="2"/>
  <c r="J525" i="2"/>
  <c r="I525" i="2"/>
  <c r="K524" i="2"/>
  <c r="J524" i="2"/>
  <c r="I524" i="2"/>
  <c r="K523" i="2"/>
  <c r="J523" i="2"/>
  <c r="I523" i="2"/>
  <c r="K522" i="2"/>
  <c r="J522" i="2"/>
  <c r="I522" i="2"/>
  <c r="K521" i="2"/>
  <c r="J521" i="2"/>
  <c r="I521" i="2"/>
  <c r="K520" i="2"/>
  <c r="J520" i="2"/>
  <c r="I520" i="2"/>
  <c r="K519" i="2"/>
  <c r="J519" i="2"/>
  <c r="I519" i="2"/>
  <c r="K518" i="2"/>
  <c r="J518" i="2"/>
  <c r="I518" i="2"/>
  <c r="K517" i="2"/>
  <c r="J517" i="2"/>
  <c r="I517" i="2"/>
  <c r="K516" i="2"/>
  <c r="J516" i="2"/>
  <c r="I516" i="2"/>
  <c r="K515" i="2"/>
  <c r="J515" i="2"/>
  <c r="I515" i="2"/>
  <c r="K514" i="2"/>
  <c r="J514" i="2"/>
  <c r="I514" i="2"/>
  <c r="K513" i="2"/>
  <c r="J513" i="2"/>
  <c r="I513" i="2"/>
  <c r="K512" i="2"/>
  <c r="J512" i="2"/>
  <c r="I512" i="2"/>
  <c r="K511" i="2"/>
  <c r="J511" i="2"/>
  <c r="I511" i="2"/>
  <c r="K510" i="2"/>
  <c r="J510" i="2"/>
  <c r="I510" i="2"/>
  <c r="K509" i="2"/>
  <c r="J509" i="2"/>
  <c r="I509" i="2"/>
  <c r="K508" i="2"/>
  <c r="J508" i="2"/>
  <c r="I508" i="2"/>
  <c r="K507" i="2"/>
  <c r="J507" i="2"/>
  <c r="I507" i="2"/>
  <c r="K506" i="2"/>
  <c r="J506" i="2"/>
  <c r="I506" i="2"/>
  <c r="K505" i="2"/>
  <c r="J505" i="2"/>
  <c r="I505" i="2"/>
  <c r="K504" i="2"/>
  <c r="J504" i="2"/>
  <c r="I504" i="2"/>
  <c r="K503" i="2"/>
  <c r="J503" i="2"/>
  <c r="I503" i="2"/>
  <c r="K502" i="2"/>
  <c r="J502" i="2"/>
  <c r="I502" i="2"/>
  <c r="K501" i="2"/>
  <c r="J501" i="2"/>
  <c r="I501" i="2"/>
  <c r="K500" i="2"/>
  <c r="J500" i="2"/>
  <c r="I500" i="2"/>
  <c r="K499" i="2"/>
  <c r="J499" i="2"/>
  <c r="I499" i="2"/>
  <c r="K498" i="2"/>
  <c r="J498" i="2"/>
  <c r="I498" i="2"/>
  <c r="K497" i="2"/>
  <c r="J497" i="2"/>
  <c r="I497" i="2"/>
  <c r="K496" i="2"/>
  <c r="J496" i="2"/>
  <c r="I496" i="2"/>
  <c r="K495" i="2"/>
  <c r="J495" i="2"/>
  <c r="I495" i="2"/>
  <c r="K494" i="2"/>
  <c r="J494" i="2"/>
  <c r="I494" i="2"/>
  <c r="K493" i="2"/>
  <c r="J493" i="2"/>
  <c r="I493" i="2"/>
  <c r="K492" i="2"/>
  <c r="J492" i="2"/>
  <c r="I492" i="2"/>
  <c r="K491" i="2"/>
  <c r="J491" i="2"/>
  <c r="I491" i="2"/>
  <c r="K490" i="2"/>
  <c r="J490" i="2"/>
  <c r="I490" i="2"/>
  <c r="K489" i="2"/>
  <c r="J489" i="2"/>
  <c r="I489" i="2"/>
  <c r="K488" i="2"/>
  <c r="J488" i="2"/>
  <c r="I488" i="2"/>
  <c r="K487" i="2"/>
  <c r="J487" i="2"/>
  <c r="I487" i="2"/>
  <c r="K486" i="2"/>
  <c r="J486" i="2"/>
  <c r="I486" i="2"/>
  <c r="K485" i="2"/>
  <c r="J485" i="2"/>
  <c r="I485" i="2"/>
  <c r="K484" i="2"/>
  <c r="J484" i="2"/>
  <c r="I484" i="2"/>
  <c r="K483" i="2"/>
  <c r="J483" i="2"/>
  <c r="I483" i="2"/>
  <c r="K482" i="2"/>
  <c r="J482" i="2"/>
  <c r="I482" i="2"/>
  <c r="K481" i="2"/>
  <c r="J481" i="2"/>
  <c r="I481" i="2"/>
  <c r="K480" i="2"/>
  <c r="J480" i="2"/>
  <c r="I480" i="2"/>
  <c r="K479" i="2"/>
  <c r="J479" i="2"/>
  <c r="I479" i="2"/>
  <c r="K478" i="2"/>
  <c r="J478" i="2"/>
  <c r="I478" i="2"/>
  <c r="K477" i="2"/>
  <c r="J477" i="2"/>
  <c r="I477" i="2"/>
  <c r="K476" i="2"/>
  <c r="J476" i="2"/>
  <c r="I476" i="2"/>
  <c r="K475" i="2"/>
  <c r="J475" i="2"/>
  <c r="I475" i="2"/>
  <c r="K474" i="2"/>
  <c r="J474" i="2"/>
  <c r="I474" i="2"/>
  <c r="K473" i="2"/>
  <c r="J473" i="2"/>
  <c r="I473" i="2"/>
  <c r="K472" i="2"/>
  <c r="J472" i="2"/>
  <c r="I472" i="2"/>
  <c r="K471" i="2"/>
  <c r="J471" i="2"/>
  <c r="I471" i="2"/>
  <c r="K470" i="2"/>
  <c r="J470" i="2"/>
  <c r="I470" i="2"/>
  <c r="K469" i="2"/>
  <c r="J469" i="2"/>
  <c r="I469" i="2"/>
  <c r="K468" i="2"/>
  <c r="J468" i="2"/>
  <c r="I468" i="2"/>
  <c r="K467" i="2"/>
  <c r="J467" i="2"/>
  <c r="I467" i="2"/>
  <c r="K466" i="2"/>
  <c r="J466" i="2"/>
  <c r="I466" i="2"/>
  <c r="K465" i="2"/>
  <c r="J465" i="2"/>
  <c r="I465" i="2"/>
  <c r="K464" i="2"/>
  <c r="J464" i="2"/>
  <c r="I464" i="2"/>
  <c r="K463" i="2"/>
  <c r="J463" i="2"/>
  <c r="I463" i="2"/>
  <c r="K462" i="2"/>
  <c r="J462" i="2"/>
  <c r="I462" i="2"/>
  <c r="K461" i="2"/>
  <c r="J461" i="2"/>
  <c r="I461" i="2"/>
  <c r="K460" i="2"/>
  <c r="J460" i="2"/>
  <c r="I460" i="2"/>
  <c r="K459" i="2"/>
  <c r="J459" i="2"/>
  <c r="I459" i="2"/>
  <c r="K458" i="2"/>
  <c r="J458" i="2"/>
  <c r="I458" i="2"/>
  <c r="K457" i="2"/>
  <c r="J457" i="2"/>
  <c r="I457" i="2"/>
  <c r="K456" i="2"/>
  <c r="J456" i="2"/>
  <c r="I456" i="2"/>
  <c r="K455" i="2"/>
  <c r="J455" i="2"/>
  <c r="I455" i="2"/>
  <c r="K454" i="2"/>
  <c r="J454" i="2"/>
  <c r="I454" i="2"/>
  <c r="K453" i="2"/>
  <c r="J453" i="2"/>
  <c r="I453" i="2"/>
  <c r="K452" i="2"/>
  <c r="J452" i="2"/>
  <c r="I452" i="2"/>
  <c r="K451" i="2"/>
  <c r="J451" i="2"/>
  <c r="I451" i="2"/>
  <c r="K450" i="2"/>
  <c r="J450" i="2"/>
  <c r="I450" i="2"/>
  <c r="K449" i="2"/>
  <c r="J449" i="2"/>
  <c r="I449" i="2"/>
  <c r="K448" i="2"/>
  <c r="J448" i="2"/>
  <c r="I448" i="2"/>
  <c r="K447" i="2"/>
  <c r="J447" i="2"/>
  <c r="I447" i="2"/>
  <c r="K446" i="2"/>
  <c r="J446" i="2"/>
  <c r="I446" i="2"/>
  <c r="K445" i="2"/>
  <c r="J445" i="2"/>
  <c r="I445" i="2"/>
  <c r="K444" i="2"/>
  <c r="J444" i="2"/>
  <c r="I444" i="2"/>
  <c r="K443" i="2"/>
  <c r="J443" i="2"/>
  <c r="I443" i="2"/>
  <c r="K442" i="2"/>
  <c r="J442" i="2"/>
  <c r="I442" i="2"/>
  <c r="K441" i="2"/>
  <c r="J441" i="2"/>
  <c r="I441" i="2"/>
  <c r="K440" i="2"/>
  <c r="J440" i="2"/>
  <c r="I440" i="2"/>
  <c r="K439" i="2"/>
  <c r="J439" i="2"/>
  <c r="I439" i="2"/>
  <c r="K438" i="2"/>
  <c r="J438" i="2"/>
  <c r="I438" i="2"/>
  <c r="K437" i="2"/>
  <c r="J437" i="2"/>
  <c r="I437" i="2"/>
  <c r="K436" i="2"/>
  <c r="J436" i="2"/>
  <c r="I436" i="2"/>
  <c r="K435" i="2"/>
  <c r="J435" i="2"/>
  <c r="I435" i="2"/>
  <c r="K434" i="2"/>
  <c r="J434" i="2"/>
  <c r="I434" i="2"/>
  <c r="K433" i="2"/>
  <c r="J433" i="2"/>
  <c r="I433" i="2"/>
  <c r="K432" i="2"/>
  <c r="J432" i="2"/>
  <c r="I432" i="2"/>
  <c r="K431" i="2"/>
  <c r="J431" i="2"/>
  <c r="I431" i="2"/>
  <c r="K430" i="2"/>
  <c r="J430" i="2"/>
  <c r="I430" i="2"/>
  <c r="K429" i="2"/>
  <c r="J429" i="2"/>
  <c r="I429" i="2"/>
  <c r="K428" i="2"/>
  <c r="J428" i="2"/>
  <c r="I428" i="2"/>
  <c r="K427" i="2"/>
  <c r="J427" i="2"/>
  <c r="I427" i="2"/>
  <c r="K426" i="2"/>
  <c r="J426" i="2"/>
  <c r="I426" i="2"/>
  <c r="K425" i="2"/>
  <c r="J425" i="2"/>
  <c r="I425" i="2"/>
  <c r="K424" i="2"/>
  <c r="J424" i="2"/>
  <c r="I424" i="2"/>
  <c r="K423" i="2"/>
  <c r="J423" i="2"/>
  <c r="I423" i="2"/>
  <c r="K422" i="2"/>
  <c r="J422" i="2"/>
  <c r="I422" i="2"/>
  <c r="K421" i="2"/>
  <c r="J421" i="2"/>
  <c r="I421" i="2"/>
  <c r="K420" i="2"/>
  <c r="J420" i="2"/>
  <c r="I420" i="2"/>
  <c r="K419" i="2"/>
  <c r="J419" i="2"/>
  <c r="I419" i="2"/>
  <c r="K418" i="2"/>
  <c r="J418" i="2"/>
  <c r="I418" i="2"/>
  <c r="K417" i="2"/>
  <c r="J417" i="2"/>
  <c r="I417" i="2"/>
  <c r="K416" i="2"/>
  <c r="J416" i="2"/>
  <c r="I416" i="2"/>
  <c r="K415" i="2"/>
  <c r="J415" i="2"/>
  <c r="I415" i="2"/>
  <c r="K414" i="2"/>
  <c r="J414" i="2"/>
  <c r="I414" i="2"/>
  <c r="K413" i="2"/>
  <c r="J413" i="2"/>
  <c r="I413" i="2"/>
  <c r="K412" i="2"/>
  <c r="J412" i="2"/>
  <c r="I412" i="2"/>
  <c r="K411" i="2"/>
  <c r="J411" i="2"/>
  <c r="I411" i="2"/>
  <c r="K410" i="2"/>
  <c r="J410" i="2"/>
  <c r="I410" i="2"/>
  <c r="K409" i="2"/>
  <c r="J409" i="2"/>
  <c r="I409" i="2"/>
  <c r="K408" i="2"/>
  <c r="J408" i="2"/>
  <c r="I408" i="2"/>
  <c r="K407" i="2"/>
  <c r="J407" i="2"/>
  <c r="I407" i="2"/>
  <c r="K406" i="2"/>
  <c r="J406" i="2"/>
  <c r="I406" i="2"/>
  <c r="K405" i="2"/>
  <c r="J405" i="2"/>
  <c r="I405" i="2"/>
  <c r="K404" i="2"/>
  <c r="J404" i="2"/>
  <c r="I404" i="2"/>
  <c r="K403" i="2"/>
  <c r="J403" i="2"/>
  <c r="I403" i="2"/>
  <c r="K402" i="2"/>
  <c r="J402" i="2"/>
  <c r="I402" i="2"/>
  <c r="K401" i="2"/>
  <c r="J401" i="2"/>
  <c r="I401" i="2"/>
  <c r="K400" i="2"/>
  <c r="J400" i="2"/>
  <c r="I400" i="2"/>
  <c r="K399" i="2"/>
  <c r="J399" i="2"/>
  <c r="I399" i="2"/>
  <c r="K398" i="2"/>
  <c r="J398" i="2"/>
  <c r="I398" i="2"/>
  <c r="K397" i="2"/>
  <c r="J397" i="2"/>
  <c r="I397" i="2"/>
  <c r="K396" i="2"/>
  <c r="J396" i="2"/>
  <c r="I396" i="2"/>
  <c r="K395" i="2"/>
  <c r="J395" i="2"/>
  <c r="I395" i="2"/>
  <c r="K394" i="2"/>
  <c r="J394" i="2"/>
  <c r="I394" i="2"/>
  <c r="K393" i="2"/>
  <c r="J393" i="2"/>
  <c r="I393" i="2"/>
  <c r="K392" i="2"/>
  <c r="J392" i="2"/>
  <c r="I392" i="2"/>
  <c r="K391" i="2"/>
  <c r="J391" i="2"/>
  <c r="I391" i="2"/>
  <c r="K390" i="2"/>
  <c r="J390" i="2"/>
  <c r="I390" i="2"/>
  <c r="K389" i="2"/>
  <c r="J389" i="2"/>
  <c r="I389" i="2"/>
  <c r="K388" i="2"/>
  <c r="J388" i="2"/>
  <c r="I388" i="2"/>
  <c r="K387" i="2"/>
  <c r="J387" i="2"/>
  <c r="I387" i="2"/>
  <c r="K386" i="2"/>
  <c r="J386" i="2"/>
  <c r="I386" i="2"/>
  <c r="K385" i="2"/>
  <c r="J385" i="2"/>
  <c r="I385" i="2"/>
  <c r="K384" i="2"/>
  <c r="J384" i="2"/>
  <c r="I384" i="2"/>
  <c r="K383" i="2"/>
  <c r="J383" i="2"/>
  <c r="I383" i="2"/>
  <c r="K382" i="2"/>
  <c r="J382" i="2"/>
  <c r="I382" i="2"/>
  <c r="K381" i="2"/>
  <c r="J381" i="2"/>
  <c r="I381" i="2"/>
  <c r="K380" i="2"/>
  <c r="J380" i="2"/>
  <c r="I380" i="2"/>
  <c r="K379" i="2"/>
  <c r="J379" i="2"/>
  <c r="I379" i="2"/>
  <c r="K378" i="2"/>
  <c r="J378" i="2"/>
  <c r="I378" i="2"/>
  <c r="K377" i="2"/>
  <c r="J377" i="2"/>
  <c r="I377" i="2"/>
  <c r="K376" i="2"/>
  <c r="J376" i="2"/>
  <c r="I376" i="2"/>
  <c r="K375" i="2"/>
  <c r="J375" i="2"/>
  <c r="I375" i="2"/>
  <c r="K374" i="2"/>
  <c r="J374" i="2"/>
  <c r="I374" i="2"/>
  <c r="K373" i="2"/>
  <c r="J373" i="2"/>
  <c r="I373" i="2"/>
  <c r="K372" i="2"/>
  <c r="J372" i="2"/>
  <c r="I372" i="2"/>
  <c r="K371" i="2"/>
  <c r="J371" i="2"/>
  <c r="I371" i="2"/>
  <c r="K370" i="2"/>
  <c r="J370" i="2"/>
  <c r="I370" i="2"/>
  <c r="K369" i="2"/>
  <c r="J369" i="2"/>
  <c r="I369" i="2"/>
  <c r="K368" i="2"/>
  <c r="J368" i="2"/>
  <c r="I368" i="2"/>
  <c r="K367" i="2"/>
  <c r="J367" i="2"/>
  <c r="I367" i="2"/>
  <c r="K366" i="2"/>
  <c r="J366" i="2"/>
  <c r="I366" i="2"/>
  <c r="K365" i="2"/>
  <c r="J365" i="2"/>
  <c r="I365" i="2"/>
  <c r="K364" i="2"/>
  <c r="J364" i="2"/>
  <c r="I364" i="2"/>
  <c r="K363" i="2"/>
  <c r="J363" i="2"/>
  <c r="I363" i="2"/>
  <c r="K362" i="2"/>
  <c r="J362" i="2"/>
  <c r="I362" i="2"/>
  <c r="K361" i="2"/>
  <c r="J361" i="2"/>
  <c r="I361" i="2"/>
  <c r="K360" i="2"/>
  <c r="J360" i="2"/>
  <c r="I360" i="2"/>
  <c r="K359" i="2"/>
  <c r="J359" i="2"/>
  <c r="I359" i="2"/>
  <c r="K358" i="2"/>
  <c r="J358" i="2"/>
  <c r="I358" i="2"/>
  <c r="K357" i="2"/>
  <c r="J357" i="2"/>
  <c r="I357" i="2"/>
  <c r="K356" i="2"/>
  <c r="J356" i="2"/>
  <c r="I356" i="2"/>
  <c r="K355" i="2"/>
  <c r="J355" i="2"/>
  <c r="I355" i="2"/>
  <c r="K354" i="2"/>
  <c r="J354" i="2"/>
  <c r="I354" i="2"/>
  <c r="K353" i="2"/>
  <c r="J353" i="2"/>
  <c r="I353" i="2"/>
  <c r="K352" i="2"/>
  <c r="J352" i="2"/>
  <c r="I352" i="2"/>
  <c r="K351" i="2"/>
  <c r="J351" i="2"/>
  <c r="I351" i="2"/>
  <c r="K350" i="2"/>
  <c r="J350" i="2"/>
  <c r="I350" i="2"/>
  <c r="K349" i="2"/>
  <c r="J349" i="2"/>
  <c r="I349" i="2"/>
  <c r="K348" i="2"/>
  <c r="J348" i="2"/>
  <c r="I348" i="2"/>
  <c r="K347" i="2"/>
  <c r="J347" i="2"/>
  <c r="I347" i="2"/>
  <c r="K346" i="2"/>
  <c r="J346" i="2"/>
  <c r="I346" i="2"/>
  <c r="K345" i="2"/>
  <c r="J345" i="2"/>
  <c r="I345" i="2"/>
  <c r="K344" i="2"/>
  <c r="J344" i="2"/>
  <c r="I344" i="2"/>
  <c r="K343" i="2"/>
  <c r="J343" i="2"/>
  <c r="I343" i="2"/>
  <c r="K342" i="2"/>
  <c r="J342" i="2"/>
  <c r="I342" i="2"/>
  <c r="K341" i="2"/>
  <c r="J341" i="2"/>
  <c r="I341" i="2"/>
  <c r="K340" i="2"/>
  <c r="J340" i="2"/>
  <c r="I340" i="2"/>
  <c r="K339" i="2"/>
  <c r="J339" i="2"/>
  <c r="I339" i="2"/>
  <c r="K338" i="2"/>
  <c r="J338" i="2"/>
  <c r="I338" i="2"/>
  <c r="K337" i="2"/>
  <c r="J337" i="2"/>
  <c r="I337" i="2"/>
  <c r="K336" i="2"/>
  <c r="J336" i="2"/>
  <c r="I336" i="2"/>
  <c r="K335" i="2"/>
  <c r="J335" i="2"/>
  <c r="I335" i="2"/>
  <c r="K334" i="2"/>
  <c r="J334" i="2"/>
  <c r="I334" i="2"/>
  <c r="K333" i="2"/>
  <c r="J333" i="2"/>
  <c r="I333" i="2"/>
  <c r="K332" i="2"/>
  <c r="J332" i="2"/>
  <c r="I332" i="2"/>
  <c r="K331" i="2"/>
  <c r="J331" i="2"/>
  <c r="I331" i="2"/>
  <c r="K330" i="2"/>
  <c r="J330" i="2"/>
  <c r="I330" i="2"/>
  <c r="K329" i="2"/>
  <c r="J329" i="2"/>
  <c r="I329" i="2"/>
  <c r="K328" i="2"/>
  <c r="J328" i="2"/>
  <c r="I328" i="2"/>
  <c r="K327" i="2"/>
  <c r="J327" i="2"/>
  <c r="I327" i="2"/>
  <c r="K326" i="2"/>
  <c r="J326" i="2"/>
  <c r="I326" i="2"/>
  <c r="K325" i="2"/>
  <c r="J325" i="2"/>
  <c r="I325" i="2"/>
  <c r="K324" i="2"/>
  <c r="J324" i="2"/>
  <c r="I324" i="2"/>
  <c r="K323" i="2"/>
  <c r="J323" i="2"/>
  <c r="I323" i="2"/>
  <c r="K322" i="2"/>
  <c r="J322" i="2"/>
  <c r="I322" i="2"/>
  <c r="K321" i="2"/>
  <c r="J321" i="2"/>
  <c r="I321" i="2"/>
  <c r="K320" i="2"/>
  <c r="J320" i="2"/>
  <c r="I320" i="2"/>
  <c r="K319" i="2"/>
  <c r="J319" i="2"/>
  <c r="I319" i="2"/>
  <c r="K318" i="2"/>
  <c r="J318" i="2"/>
  <c r="I318" i="2"/>
  <c r="K317" i="2"/>
  <c r="J317" i="2"/>
  <c r="I317" i="2"/>
  <c r="K316" i="2"/>
  <c r="J316" i="2"/>
  <c r="I316" i="2"/>
  <c r="K315" i="2"/>
  <c r="J315" i="2"/>
  <c r="I315" i="2"/>
  <c r="K314" i="2"/>
  <c r="J314" i="2"/>
  <c r="I314" i="2"/>
  <c r="K313" i="2"/>
  <c r="J313" i="2"/>
  <c r="I313" i="2"/>
  <c r="K312" i="2"/>
  <c r="J312" i="2"/>
  <c r="I312" i="2"/>
  <c r="K311" i="2"/>
  <c r="J311" i="2"/>
  <c r="I311" i="2"/>
  <c r="K310" i="2"/>
  <c r="J310" i="2"/>
  <c r="I310" i="2"/>
  <c r="K309" i="2"/>
  <c r="J309" i="2"/>
  <c r="I309" i="2"/>
  <c r="K308" i="2"/>
  <c r="J308" i="2"/>
  <c r="I308" i="2"/>
  <c r="K307" i="2"/>
  <c r="J307" i="2"/>
  <c r="I307" i="2"/>
  <c r="K306" i="2"/>
  <c r="J306" i="2"/>
  <c r="I306" i="2"/>
  <c r="K305" i="2"/>
  <c r="J305" i="2"/>
  <c r="I305" i="2"/>
  <c r="K304" i="2"/>
  <c r="J304" i="2"/>
  <c r="I304" i="2"/>
  <c r="K303" i="2"/>
  <c r="J303" i="2"/>
  <c r="I303" i="2"/>
  <c r="K302" i="2"/>
  <c r="J302" i="2"/>
  <c r="I302" i="2"/>
  <c r="K301" i="2"/>
  <c r="J301" i="2"/>
  <c r="I301" i="2"/>
  <c r="K300" i="2"/>
  <c r="J300" i="2"/>
  <c r="I300" i="2"/>
  <c r="K299" i="2"/>
  <c r="J299" i="2"/>
  <c r="I299" i="2"/>
  <c r="K298" i="2"/>
  <c r="J298" i="2"/>
  <c r="I298" i="2"/>
  <c r="K297" i="2"/>
  <c r="J297" i="2"/>
  <c r="I297" i="2"/>
  <c r="K296" i="2"/>
  <c r="J296" i="2"/>
  <c r="I296" i="2"/>
  <c r="K295" i="2"/>
  <c r="J295" i="2"/>
  <c r="I295" i="2"/>
  <c r="K294" i="2"/>
  <c r="J294" i="2"/>
  <c r="I294" i="2"/>
  <c r="K293" i="2"/>
  <c r="J293" i="2"/>
  <c r="I293" i="2"/>
  <c r="K292" i="2"/>
  <c r="J292" i="2"/>
  <c r="I292" i="2"/>
  <c r="K291" i="2"/>
  <c r="J291" i="2"/>
  <c r="I291" i="2"/>
  <c r="K290" i="2"/>
  <c r="J290" i="2"/>
  <c r="I290" i="2"/>
  <c r="K289" i="2"/>
  <c r="J289" i="2"/>
  <c r="I289" i="2"/>
  <c r="K288" i="2"/>
  <c r="J288" i="2"/>
  <c r="I288" i="2"/>
  <c r="K287" i="2"/>
  <c r="J287" i="2"/>
  <c r="I287" i="2"/>
  <c r="K286" i="2"/>
  <c r="J286" i="2"/>
  <c r="I286" i="2"/>
  <c r="K285" i="2"/>
  <c r="J285" i="2"/>
  <c r="I285" i="2"/>
  <c r="K284" i="2"/>
  <c r="J284" i="2"/>
  <c r="I284" i="2"/>
  <c r="K283" i="2"/>
  <c r="J283" i="2"/>
  <c r="I283" i="2"/>
  <c r="K282" i="2"/>
  <c r="J282" i="2"/>
  <c r="I282" i="2"/>
  <c r="K281" i="2"/>
  <c r="J281" i="2"/>
  <c r="I281" i="2"/>
  <c r="K280" i="2"/>
  <c r="J280" i="2"/>
  <c r="I280" i="2"/>
  <c r="K279" i="2"/>
  <c r="J279" i="2"/>
  <c r="I279" i="2"/>
  <c r="K278" i="2"/>
  <c r="J278" i="2"/>
  <c r="I278" i="2"/>
  <c r="K277" i="2"/>
  <c r="J277" i="2"/>
  <c r="I277" i="2"/>
  <c r="K276" i="2"/>
  <c r="J276" i="2"/>
  <c r="I276" i="2"/>
  <c r="K275" i="2"/>
  <c r="J275" i="2"/>
  <c r="I275" i="2"/>
  <c r="K274" i="2"/>
  <c r="J274" i="2"/>
  <c r="I274" i="2"/>
  <c r="K273" i="2"/>
  <c r="J273" i="2"/>
  <c r="I273" i="2"/>
  <c r="K272" i="2"/>
  <c r="J272" i="2"/>
  <c r="I272" i="2"/>
  <c r="K271" i="2"/>
  <c r="J271" i="2"/>
  <c r="I271" i="2"/>
  <c r="K270" i="2"/>
  <c r="J270" i="2"/>
  <c r="I270" i="2"/>
  <c r="K269" i="2"/>
  <c r="J269" i="2"/>
  <c r="I269" i="2"/>
  <c r="K268" i="2"/>
  <c r="J268" i="2"/>
  <c r="I268" i="2"/>
  <c r="K267" i="2"/>
  <c r="J267" i="2"/>
  <c r="I267" i="2"/>
  <c r="K266" i="2"/>
  <c r="J266" i="2"/>
  <c r="I266" i="2"/>
  <c r="K265" i="2"/>
  <c r="J265" i="2"/>
  <c r="I265" i="2"/>
  <c r="K264" i="2"/>
  <c r="J264" i="2"/>
  <c r="I264" i="2"/>
  <c r="K263" i="2"/>
  <c r="J263" i="2"/>
  <c r="I263" i="2"/>
  <c r="K262" i="2"/>
  <c r="J262" i="2"/>
  <c r="I262" i="2"/>
  <c r="K261" i="2"/>
  <c r="J261" i="2"/>
  <c r="I261" i="2"/>
  <c r="K260" i="2"/>
  <c r="J260" i="2"/>
  <c r="I260" i="2"/>
  <c r="K259" i="2"/>
  <c r="J259" i="2"/>
  <c r="I259" i="2"/>
  <c r="K258" i="2"/>
  <c r="J258" i="2"/>
  <c r="I258" i="2"/>
  <c r="K257" i="2"/>
  <c r="J257" i="2"/>
  <c r="I257" i="2"/>
  <c r="K256" i="2"/>
  <c r="J256" i="2"/>
  <c r="I256" i="2"/>
  <c r="K255" i="2"/>
  <c r="J255" i="2"/>
  <c r="I255" i="2"/>
  <c r="K254" i="2"/>
  <c r="J254" i="2"/>
  <c r="I254" i="2"/>
  <c r="K253" i="2"/>
  <c r="J253" i="2"/>
  <c r="I253" i="2"/>
  <c r="K252" i="2"/>
  <c r="J252" i="2"/>
  <c r="I252" i="2"/>
  <c r="K251" i="2"/>
  <c r="J251" i="2"/>
  <c r="I251" i="2"/>
  <c r="K250" i="2"/>
  <c r="J250" i="2"/>
  <c r="I250" i="2"/>
  <c r="K249" i="2"/>
  <c r="J249" i="2"/>
  <c r="I249" i="2"/>
  <c r="K248" i="2"/>
  <c r="J248" i="2"/>
  <c r="I248" i="2"/>
  <c r="K247" i="2"/>
  <c r="J247" i="2"/>
  <c r="I247" i="2"/>
  <c r="K246" i="2"/>
  <c r="J246" i="2"/>
  <c r="I246" i="2"/>
  <c r="K245" i="2"/>
  <c r="J245" i="2"/>
  <c r="I245" i="2"/>
  <c r="K244" i="2"/>
  <c r="J244" i="2"/>
  <c r="I244" i="2"/>
  <c r="K243" i="2"/>
  <c r="J243" i="2"/>
  <c r="I243" i="2"/>
  <c r="K242" i="2"/>
  <c r="J242" i="2"/>
  <c r="I242" i="2"/>
  <c r="K241" i="2"/>
  <c r="J241" i="2"/>
  <c r="I241" i="2"/>
  <c r="K240" i="2"/>
  <c r="J240" i="2"/>
  <c r="I240" i="2"/>
  <c r="K239" i="2"/>
  <c r="J239" i="2"/>
  <c r="I239" i="2"/>
  <c r="K238" i="2"/>
  <c r="J238" i="2"/>
  <c r="I238" i="2"/>
  <c r="K237" i="2"/>
  <c r="J237" i="2"/>
  <c r="I237" i="2"/>
  <c r="K236" i="2"/>
  <c r="J236" i="2"/>
  <c r="I236" i="2"/>
  <c r="K235" i="2"/>
  <c r="J235" i="2"/>
  <c r="I235" i="2"/>
  <c r="K234" i="2"/>
  <c r="J234" i="2"/>
  <c r="I234" i="2"/>
  <c r="K233" i="2"/>
  <c r="J233" i="2"/>
  <c r="I233" i="2"/>
  <c r="K232" i="2"/>
  <c r="J232" i="2"/>
  <c r="I232" i="2"/>
  <c r="K231" i="2"/>
  <c r="J231" i="2"/>
  <c r="I231" i="2"/>
  <c r="K230" i="2"/>
  <c r="J230" i="2"/>
  <c r="I230" i="2"/>
  <c r="K229" i="2"/>
  <c r="J229" i="2"/>
  <c r="I229" i="2"/>
  <c r="K228" i="2"/>
  <c r="J228" i="2"/>
  <c r="I228" i="2"/>
  <c r="K227" i="2"/>
  <c r="J227" i="2"/>
  <c r="I227" i="2"/>
  <c r="K226" i="2"/>
  <c r="J226" i="2"/>
  <c r="I226" i="2"/>
  <c r="K225" i="2"/>
  <c r="J225" i="2"/>
  <c r="I225" i="2"/>
  <c r="K224" i="2"/>
  <c r="J224" i="2"/>
  <c r="I224" i="2"/>
  <c r="K223" i="2"/>
  <c r="J223" i="2"/>
  <c r="I223" i="2"/>
  <c r="K222" i="2"/>
  <c r="J222" i="2"/>
  <c r="I222" i="2"/>
  <c r="K221" i="2"/>
  <c r="J221" i="2"/>
  <c r="I221" i="2"/>
  <c r="K220" i="2"/>
  <c r="J220" i="2"/>
  <c r="I220" i="2"/>
  <c r="K219" i="2"/>
  <c r="J219" i="2"/>
  <c r="I219" i="2"/>
  <c r="K218" i="2"/>
  <c r="J218" i="2"/>
  <c r="I218" i="2"/>
  <c r="K217" i="2"/>
  <c r="J217" i="2"/>
  <c r="I217" i="2"/>
  <c r="K216" i="2"/>
  <c r="J216" i="2"/>
  <c r="I216" i="2"/>
  <c r="K215" i="2"/>
  <c r="J215" i="2"/>
  <c r="I215" i="2"/>
  <c r="K214" i="2"/>
  <c r="J214" i="2"/>
  <c r="I214" i="2"/>
  <c r="K213" i="2"/>
  <c r="J213" i="2"/>
  <c r="I213" i="2"/>
  <c r="K212" i="2"/>
  <c r="J212" i="2"/>
  <c r="I212" i="2"/>
  <c r="K211" i="2"/>
  <c r="J211" i="2"/>
  <c r="I211" i="2"/>
  <c r="K210" i="2"/>
  <c r="J210" i="2"/>
  <c r="I210" i="2"/>
  <c r="K209" i="2"/>
  <c r="J209" i="2"/>
  <c r="I209" i="2"/>
  <c r="K208" i="2"/>
  <c r="J208" i="2"/>
  <c r="I208" i="2"/>
  <c r="K207" i="2"/>
  <c r="J207" i="2"/>
  <c r="I207" i="2"/>
  <c r="K206" i="2"/>
  <c r="J206" i="2"/>
  <c r="I206" i="2"/>
  <c r="K205" i="2"/>
  <c r="J205" i="2"/>
  <c r="I205" i="2"/>
  <c r="K204" i="2"/>
  <c r="J204" i="2"/>
  <c r="I204" i="2"/>
  <c r="K203" i="2"/>
  <c r="J203" i="2"/>
  <c r="I203" i="2"/>
  <c r="K202" i="2"/>
  <c r="J202" i="2"/>
  <c r="I202" i="2"/>
  <c r="K201" i="2"/>
  <c r="J201" i="2"/>
  <c r="I201" i="2"/>
  <c r="K200" i="2"/>
  <c r="J200" i="2"/>
  <c r="I200" i="2"/>
  <c r="K199" i="2"/>
  <c r="J199" i="2"/>
  <c r="I199" i="2"/>
  <c r="K198" i="2"/>
  <c r="J198" i="2"/>
  <c r="I198" i="2"/>
  <c r="K197" i="2"/>
  <c r="J197" i="2"/>
  <c r="I197" i="2"/>
  <c r="K196" i="2"/>
  <c r="J196" i="2"/>
  <c r="I196" i="2"/>
  <c r="K195" i="2"/>
  <c r="J195" i="2"/>
  <c r="I195" i="2"/>
  <c r="K194" i="2"/>
  <c r="J194" i="2"/>
  <c r="I194" i="2"/>
  <c r="K193" i="2"/>
  <c r="J193" i="2"/>
  <c r="I193" i="2"/>
  <c r="K192" i="2"/>
  <c r="J192" i="2"/>
  <c r="I192" i="2"/>
  <c r="K191" i="2"/>
  <c r="J191" i="2"/>
  <c r="I191" i="2"/>
  <c r="K190" i="2"/>
  <c r="J190" i="2"/>
  <c r="I190" i="2"/>
  <c r="K189" i="2"/>
  <c r="J189" i="2"/>
  <c r="I189" i="2"/>
  <c r="K188" i="2"/>
  <c r="J188" i="2"/>
  <c r="I188" i="2"/>
  <c r="K187" i="2"/>
  <c r="J187" i="2"/>
  <c r="I187" i="2"/>
  <c r="K186" i="2"/>
  <c r="J186" i="2"/>
  <c r="I186" i="2"/>
  <c r="K185" i="2"/>
  <c r="J185" i="2"/>
  <c r="I185" i="2"/>
  <c r="K184" i="2"/>
  <c r="J184" i="2"/>
  <c r="I184" i="2"/>
  <c r="K183" i="2"/>
  <c r="J183" i="2"/>
  <c r="I183" i="2"/>
  <c r="K182" i="2"/>
  <c r="J182" i="2"/>
  <c r="I182" i="2"/>
  <c r="K181" i="2"/>
  <c r="J181" i="2"/>
  <c r="I181" i="2"/>
  <c r="K180" i="2"/>
  <c r="J180" i="2"/>
  <c r="I180" i="2"/>
  <c r="K179" i="2"/>
  <c r="J179" i="2"/>
  <c r="I179" i="2"/>
  <c r="K178" i="2"/>
  <c r="J178" i="2"/>
  <c r="I178" i="2"/>
  <c r="K177" i="2"/>
  <c r="J177" i="2"/>
  <c r="I177" i="2"/>
  <c r="K176" i="2"/>
  <c r="J176" i="2"/>
  <c r="I176" i="2"/>
  <c r="K175" i="2"/>
  <c r="J175" i="2"/>
  <c r="I175" i="2"/>
  <c r="K174" i="2"/>
  <c r="J174" i="2"/>
  <c r="I174" i="2"/>
  <c r="K173" i="2"/>
  <c r="J173" i="2"/>
  <c r="I173" i="2"/>
  <c r="K172" i="2"/>
  <c r="J172" i="2"/>
  <c r="I172" i="2"/>
  <c r="K171" i="2"/>
  <c r="J171" i="2"/>
  <c r="I171" i="2"/>
  <c r="K170" i="2"/>
  <c r="J170" i="2"/>
  <c r="I170" i="2"/>
  <c r="K169" i="2"/>
  <c r="J169" i="2"/>
  <c r="I169" i="2"/>
  <c r="K168" i="2"/>
  <c r="J168" i="2"/>
  <c r="I168" i="2"/>
  <c r="K167" i="2"/>
  <c r="J167" i="2"/>
  <c r="I167" i="2"/>
  <c r="K166" i="2"/>
  <c r="J166" i="2"/>
  <c r="I166" i="2"/>
  <c r="K165" i="2"/>
  <c r="J165" i="2"/>
  <c r="I165" i="2"/>
  <c r="K164" i="2"/>
  <c r="J164" i="2"/>
  <c r="I164" i="2"/>
  <c r="K163" i="2"/>
  <c r="J163" i="2"/>
  <c r="I163" i="2"/>
  <c r="K162" i="2"/>
  <c r="J162" i="2"/>
  <c r="I162" i="2"/>
  <c r="K161" i="2"/>
  <c r="J161" i="2"/>
  <c r="I161" i="2"/>
  <c r="K160" i="2"/>
  <c r="J160" i="2"/>
  <c r="I160" i="2"/>
  <c r="K159" i="2"/>
  <c r="J159" i="2"/>
  <c r="I159" i="2"/>
  <c r="K158" i="2"/>
  <c r="J158" i="2"/>
  <c r="I158" i="2"/>
  <c r="K157" i="2"/>
  <c r="J157" i="2"/>
  <c r="I157" i="2"/>
  <c r="K156" i="2"/>
  <c r="J156" i="2"/>
  <c r="I156" i="2"/>
  <c r="K155" i="2"/>
  <c r="J155" i="2"/>
  <c r="I155" i="2"/>
  <c r="K154" i="2"/>
  <c r="J154" i="2"/>
  <c r="I154" i="2"/>
  <c r="K153" i="2"/>
  <c r="J153" i="2"/>
  <c r="I153" i="2"/>
  <c r="K152" i="2"/>
  <c r="J152" i="2"/>
  <c r="I152" i="2"/>
  <c r="K151" i="2"/>
  <c r="J151" i="2"/>
  <c r="I151" i="2"/>
  <c r="K150" i="2"/>
  <c r="J150" i="2"/>
  <c r="I150" i="2"/>
  <c r="K149" i="2"/>
  <c r="J149" i="2"/>
  <c r="I149" i="2"/>
  <c r="K148" i="2"/>
  <c r="J148" i="2"/>
  <c r="I148" i="2"/>
  <c r="K147" i="2"/>
  <c r="J147" i="2"/>
  <c r="I147" i="2"/>
  <c r="K146" i="2"/>
  <c r="J146" i="2"/>
  <c r="I146" i="2"/>
  <c r="K145" i="2"/>
  <c r="J145" i="2"/>
  <c r="I145" i="2"/>
  <c r="K144" i="2"/>
  <c r="J144" i="2"/>
  <c r="I144" i="2"/>
  <c r="K143" i="2"/>
  <c r="J143" i="2"/>
  <c r="I143" i="2"/>
  <c r="K142" i="2"/>
  <c r="J142" i="2"/>
  <c r="I142" i="2"/>
  <c r="K141" i="2"/>
  <c r="J141" i="2"/>
  <c r="I141" i="2"/>
  <c r="K140" i="2"/>
  <c r="J140" i="2"/>
  <c r="I140" i="2"/>
  <c r="K139" i="2"/>
  <c r="J139" i="2"/>
  <c r="I139" i="2"/>
  <c r="K138" i="2"/>
  <c r="J138" i="2"/>
  <c r="I138" i="2"/>
  <c r="K137" i="2"/>
  <c r="J137" i="2"/>
  <c r="I137" i="2"/>
  <c r="K136" i="2"/>
  <c r="J136" i="2"/>
  <c r="I136" i="2"/>
  <c r="K135" i="2"/>
  <c r="J135" i="2"/>
  <c r="I135" i="2"/>
  <c r="K134" i="2"/>
  <c r="J134" i="2"/>
  <c r="I134" i="2"/>
  <c r="K133" i="2"/>
  <c r="J133" i="2"/>
  <c r="I133" i="2"/>
  <c r="K132" i="2"/>
  <c r="J132" i="2"/>
  <c r="I132" i="2"/>
  <c r="K131" i="2"/>
  <c r="J131" i="2"/>
  <c r="I131" i="2"/>
  <c r="K130" i="2"/>
  <c r="J130" i="2"/>
  <c r="I130" i="2"/>
  <c r="K129" i="2"/>
  <c r="J129" i="2"/>
  <c r="I129" i="2"/>
  <c r="K128" i="2"/>
  <c r="J128" i="2"/>
  <c r="I128" i="2"/>
  <c r="K127" i="2"/>
  <c r="J127" i="2"/>
  <c r="I127" i="2"/>
  <c r="K126" i="2"/>
  <c r="J126" i="2"/>
  <c r="I126" i="2"/>
  <c r="K125" i="2"/>
  <c r="J125" i="2"/>
  <c r="I125" i="2"/>
  <c r="K124" i="2"/>
  <c r="J124" i="2"/>
  <c r="I124" i="2"/>
  <c r="K123" i="2"/>
  <c r="J123" i="2"/>
  <c r="I123" i="2"/>
  <c r="K122" i="2"/>
  <c r="J122" i="2"/>
  <c r="I122" i="2"/>
  <c r="K121" i="2"/>
  <c r="J121" i="2"/>
  <c r="I121" i="2"/>
  <c r="K120" i="2"/>
  <c r="J120" i="2"/>
  <c r="I120" i="2"/>
  <c r="K119" i="2"/>
  <c r="J119" i="2"/>
  <c r="I119" i="2"/>
  <c r="K118" i="2"/>
  <c r="J118" i="2"/>
  <c r="I118" i="2"/>
  <c r="K117" i="2"/>
  <c r="J117" i="2"/>
  <c r="I117" i="2"/>
  <c r="K116" i="2"/>
  <c r="J116" i="2"/>
  <c r="I116" i="2"/>
  <c r="K115" i="2"/>
  <c r="J115" i="2"/>
  <c r="I115" i="2"/>
  <c r="K114" i="2"/>
  <c r="J114" i="2"/>
  <c r="I114" i="2"/>
  <c r="K113" i="2"/>
  <c r="J113" i="2"/>
  <c r="I113" i="2"/>
  <c r="K112" i="2"/>
  <c r="J112" i="2"/>
  <c r="I112" i="2"/>
  <c r="K111" i="2"/>
  <c r="J111" i="2"/>
  <c r="I111" i="2"/>
  <c r="K110" i="2"/>
  <c r="J110" i="2"/>
  <c r="I110" i="2"/>
  <c r="K109" i="2"/>
  <c r="J109" i="2"/>
  <c r="I109" i="2"/>
  <c r="K108" i="2"/>
  <c r="J108" i="2"/>
  <c r="I108" i="2"/>
  <c r="K107" i="2"/>
  <c r="J107" i="2"/>
  <c r="I107" i="2"/>
  <c r="K106" i="2"/>
  <c r="J106" i="2"/>
  <c r="I106" i="2"/>
  <c r="K105" i="2"/>
  <c r="J105" i="2"/>
  <c r="I105" i="2"/>
  <c r="K104" i="2"/>
  <c r="J104" i="2"/>
  <c r="I104" i="2"/>
  <c r="K103" i="2"/>
  <c r="J103" i="2"/>
  <c r="I103" i="2"/>
  <c r="K102" i="2"/>
  <c r="J102" i="2"/>
  <c r="I102" i="2"/>
  <c r="K101" i="2"/>
  <c r="J101" i="2"/>
  <c r="I101" i="2"/>
  <c r="K100" i="2"/>
  <c r="J100" i="2"/>
  <c r="I100" i="2"/>
  <c r="K99" i="2"/>
  <c r="J99" i="2"/>
  <c r="I99" i="2"/>
  <c r="K98" i="2"/>
  <c r="J98" i="2"/>
  <c r="I98" i="2"/>
  <c r="K97" i="2"/>
  <c r="J97" i="2"/>
  <c r="I97" i="2"/>
  <c r="K96" i="2"/>
  <c r="J96" i="2"/>
  <c r="I96" i="2"/>
  <c r="K95" i="2"/>
  <c r="J95" i="2"/>
  <c r="I95" i="2"/>
  <c r="K94" i="2"/>
  <c r="J94" i="2"/>
  <c r="I94" i="2"/>
  <c r="K93" i="2"/>
  <c r="J93" i="2"/>
  <c r="I93" i="2"/>
  <c r="K92" i="2"/>
  <c r="J92" i="2"/>
  <c r="I92" i="2"/>
  <c r="K91" i="2"/>
  <c r="J91" i="2"/>
  <c r="I91" i="2"/>
  <c r="K90" i="2"/>
  <c r="J90" i="2"/>
  <c r="I90" i="2"/>
  <c r="K89" i="2"/>
  <c r="J89" i="2"/>
  <c r="I89" i="2"/>
  <c r="K88" i="2"/>
  <c r="J88" i="2"/>
  <c r="I88" i="2"/>
  <c r="K87" i="2"/>
  <c r="J87" i="2"/>
  <c r="I87" i="2"/>
  <c r="K86" i="2"/>
  <c r="J86" i="2"/>
  <c r="I86" i="2"/>
  <c r="K85" i="2"/>
  <c r="J85" i="2"/>
  <c r="I85" i="2"/>
  <c r="K84" i="2"/>
  <c r="J84" i="2"/>
  <c r="I84" i="2"/>
  <c r="K83" i="2"/>
  <c r="J83" i="2"/>
  <c r="I83" i="2"/>
  <c r="K82" i="2"/>
  <c r="J82" i="2"/>
  <c r="I82" i="2"/>
  <c r="K81" i="2"/>
  <c r="J81" i="2"/>
  <c r="I81" i="2"/>
  <c r="K80" i="2"/>
  <c r="J80" i="2"/>
  <c r="I80" i="2"/>
  <c r="K79" i="2"/>
  <c r="J79" i="2"/>
  <c r="I79" i="2"/>
  <c r="K78" i="2"/>
  <c r="J78" i="2"/>
  <c r="I78" i="2"/>
  <c r="K77" i="2"/>
  <c r="J77" i="2"/>
  <c r="I77" i="2"/>
  <c r="K76" i="2"/>
  <c r="J76" i="2"/>
  <c r="I76" i="2"/>
  <c r="K75" i="2"/>
  <c r="J75" i="2"/>
  <c r="I75" i="2"/>
  <c r="K74" i="2"/>
  <c r="J74" i="2"/>
  <c r="I74" i="2"/>
  <c r="K73" i="2"/>
  <c r="J73" i="2"/>
  <c r="I73" i="2"/>
  <c r="K72" i="2"/>
  <c r="J72" i="2"/>
  <c r="I72" i="2"/>
  <c r="K71" i="2"/>
  <c r="J71" i="2"/>
  <c r="I71" i="2"/>
  <c r="K70" i="2"/>
  <c r="J70" i="2"/>
  <c r="I70" i="2"/>
  <c r="K69" i="2"/>
  <c r="J69" i="2"/>
  <c r="I69" i="2"/>
  <c r="K68" i="2"/>
  <c r="J68" i="2"/>
  <c r="I68" i="2"/>
  <c r="K67" i="2"/>
  <c r="J67" i="2"/>
  <c r="I67" i="2"/>
  <c r="K66" i="2"/>
  <c r="J66" i="2"/>
  <c r="I66" i="2"/>
  <c r="K65" i="2"/>
  <c r="J65" i="2"/>
  <c r="I65" i="2"/>
  <c r="K64" i="2"/>
  <c r="J64" i="2"/>
  <c r="I64" i="2"/>
  <c r="K63" i="2"/>
  <c r="J63" i="2"/>
  <c r="I63" i="2"/>
  <c r="K62" i="2"/>
  <c r="J62" i="2"/>
  <c r="I62" i="2"/>
  <c r="K61" i="2"/>
  <c r="J61" i="2"/>
  <c r="I61" i="2"/>
  <c r="K60" i="2"/>
  <c r="J60" i="2"/>
  <c r="I60" i="2"/>
  <c r="K59" i="2"/>
  <c r="J59" i="2"/>
  <c r="I59" i="2"/>
  <c r="K58" i="2"/>
  <c r="J58" i="2"/>
  <c r="I58" i="2"/>
  <c r="K57" i="2"/>
  <c r="J57" i="2"/>
  <c r="I57" i="2"/>
  <c r="K56" i="2"/>
  <c r="J56" i="2"/>
  <c r="I56" i="2"/>
  <c r="K55" i="2"/>
  <c r="J55" i="2"/>
  <c r="I55" i="2"/>
  <c r="K54" i="2"/>
  <c r="J54" i="2"/>
  <c r="I54" i="2"/>
  <c r="K53" i="2"/>
  <c r="J53" i="2"/>
  <c r="I53" i="2"/>
  <c r="K52" i="2"/>
  <c r="J52" i="2"/>
  <c r="I52" i="2"/>
  <c r="K51" i="2"/>
  <c r="J51" i="2"/>
  <c r="I51" i="2"/>
  <c r="K50" i="2"/>
  <c r="J50" i="2"/>
  <c r="I50" i="2"/>
  <c r="K49" i="2"/>
  <c r="J49" i="2"/>
  <c r="I49" i="2"/>
  <c r="K48" i="2"/>
  <c r="J48" i="2"/>
  <c r="I48" i="2"/>
  <c r="K47" i="2"/>
  <c r="J47" i="2"/>
  <c r="I47" i="2"/>
  <c r="K46" i="2"/>
  <c r="J46" i="2"/>
  <c r="I46" i="2"/>
  <c r="K45" i="2"/>
  <c r="J45" i="2"/>
  <c r="I45" i="2"/>
  <c r="K44" i="2"/>
  <c r="J44" i="2"/>
  <c r="I44" i="2"/>
  <c r="K43" i="2"/>
  <c r="J43" i="2"/>
  <c r="I43" i="2"/>
  <c r="K42" i="2"/>
  <c r="J42" i="2"/>
  <c r="I42" i="2"/>
  <c r="K41" i="2"/>
  <c r="J41" i="2"/>
  <c r="I41" i="2"/>
  <c r="K40" i="2"/>
  <c r="J40" i="2"/>
  <c r="I40" i="2"/>
  <c r="K39" i="2"/>
  <c r="J39" i="2"/>
  <c r="I39" i="2"/>
  <c r="K38" i="2"/>
  <c r="J38" i="2"/>
  <c r="I38" i="2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K3" i="2"/>
  <c r="J3" i="2"/>
  <c r="I3" i="2"/>
  <c r="K2" i="2"/>
  <c r="J2" i="2"/>
  <c r="I2" i="2"/>
</calcChain>
</file>

<file path=xl/sharedStrings.xml><?xml version="1.0" encoding="utf-8"?>
<sst xmlns="http://schemas.openxmlformats.org/spreadsheetml/2006/main" count="2327" uniqueCount="1158">
  <si>
    <t>merchant_id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</si>
  <si>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</si>
  <si>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</si>
  <si>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</si>
  <si>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</si>
  <si>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</si>
  <si>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</si>
  <si>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</si>
  <si>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</si>
  <si>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</si>
  <si>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</si>
  <si>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</si>
  <si>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</si>
  <si>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</si>
  <si>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</si>
  <si>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</si>
  <si>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</si>
  <si>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</si>
  <si>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</si>
  <si>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</si>
  <si>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</si>
  <si>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</si>
  <si>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</si>
  <si>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</si>
  <si>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</si>
  <si>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</si>
  <si>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</si>
  <si>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</si>
  <si>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</si>
  <si>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</si>
  <si>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</si>
  <si>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</si>
  <si>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</si>
  <si>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</si>
  <si>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</si>
  <si>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</si>
  <si>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</si>
  <si>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</si>
  <si>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</si>
  <si>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</si>
  <si>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</si>
  <si>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</si>
  <si>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</si>
  <si>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</si>
  <si>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</si>
  <si>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</si>
  <si>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</si>
  <si>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</si>
  <si>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</si>
  <si>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</si>
  <si>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</si>
  <si>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</si>
  <si>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</si>
  <si>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</si>
  <si>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</si>
  <si>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transaction_id</t>
  </si>
  <si>
    <t>user_id</t>
  </si>
  <si>
    <t>transaction_time</t>
  </si>
  <si>
    <t>amount_inr</t>
  </si>
  <si>
    <t>payment_method</t>
  </si>
  <si>
    <t>status</t>
  </si>
  <si>
    <t>risk_score</t>
  </si>
  <si>
    <t>TXN100000</t>
  </si>
  <si>
    <t>2026-01-29 11:13:00</t>
  </si>
  <si>
    <t>Wallet</t>
  </si>
  <si>
    <t>captured</t>
  </si>
  <si>
    <t>TXN100001</t>
  </si>
  <si>
    <t>2026-01-04 11:49:00</t>
  </si>
  <si>
    <t>UPI</t>
  </si>
  <si>
    <t>TXN100002</t>
  </si>
  <si>
    <t>2026-01-24 04:59:00</t>
  </si>
  <si>
    <t>TXN100003</t>
  </si>
  <si>
    <t>2026-01-29 13:01:00</t>
  </si>
  <si>
    <t>Netbanking</t>
  </si>
  <si>
    <t>TXN100004</t>
  </si>
  <si>
    <t>2026-01-30 13:51:00</t>
  </si>
  <si>
    <t>TXN100005</t>
  </si>
  <si>
    <t>2026-01-06 22:06:00</t>
  </si>
  <si>
    <t>TXN100006</t>
  </si>
  <si>
    <t>2026-01-08 06:52:00</t>
  </si>
  <si>
    <t>TXN100007</t>
  </si>
  <si>
    <t>2026-01-27 07:14:00</t>
  </si>
  <si>
    <t>TXN100008</t>
  </si>
  <si>
    <t>2026-01-11 08:55:00</t>
  </si>
  <si>
    <t>TXN100009</t>
  </si>
  <si>
    <t>2026-01-21 16:25:00</t>
  </si>
  <si>
    <t>TXN100010</t>
  </si>
  <si>
    <t>2026-01-01 03:56:00</t>
  </si>
  <si>
    <t>TXN100011</t>
  </si>
  <si>
    <t>2026-01-09 01:06:00</t>
  </si>
  <si>
    <t>Card</t>
  </si>
  <si>
    <t>failed</t>
  </si>
  <si>
    <t>TXN100012</t>
  </si>
  <si>
    <t>2026-01-24 10:27:00</t>
  </si>
  <si>
    <t>TXN100013</t>
  </si>
  <si>
    <t>2026-01-13 18:12:00</t>
  </si>
  <si>
    <t>TXN100014</t>
  </si>
  <si>
    <t>2026-01-14 00:33:00</t>
  </si>
  <si>
    <t>TXN100015</t>
  </si>
  <si>
    <t>2026-01-14 02:42:00</t>
  </si>
  <si>
    <t>TXN100016</t>
  </si>
  <si>
    <t>2026-01-22 03:46:00</t>
  </si>
  <si>
    <t>TXN100017</t>
  </si>
  <si>
    <t>2026-01-22 13:20:00</t>
  </si>
  <si>
    <t>TXN100018</t>
  </si>
  <si>
    <t>2026-01-05 06:26:00</t>
  </si>
  <si>
    <t>TXN100019</t>
  </si>
  <si>
    <t>2026-01-24 05:39:00</t>
  </si>
  <si>
    <t>TXN100020</t>
  </si>
  <si>
    <t>2026-01-18 00:19:00</t>
  </si>
  <si>
    <t>TXN100021</t>
  </si>
  <si>
    <t>2026-01-26 18:38:00</t>
  </si>
  <si>
    <t>TXN100022</t>
  </si>
  <si>
    <t>2026-01-15 14:43:00</t>
  </si>
  <si>
    <t>TXN100023</t>
  </si>
  <si>
    <t>2026-01-26 23:10:00</t>
  </si>
  <si>
    <t>chargeback</t>
  </si>
  <si>
    <t>TXN100024</t>
  </si>
  <si>
    <t>2026-01-17 21:40:00</t>
  </si>
  <si>
    <t>TXN100025</t>
  </si>
  <si>
    <t>2026-01-27 07:43:00</t>
  </si>
  <si>
    <t>TXN100026</t>
  </si>
  <si>
    <t>2026-01-05 00:02:00</t>
  </si>
  <si>
    <t>TXN100027</t>
  </si>
  <si>
    <t>2026-01-28 02:29:00</t>
  </si>
  <si>
    <t>TXN100028</t>
  </si>
  <si>
    <t>2026-01-23 22:24:00</t>
  </si>
  <si>
    <t>TXN100029</t>
  </si>
  <si>
    <t>2026-01-05 20:44:00</t>
  </si>
  <si>
    <t>TXN100030</t>
  </si>
  <si>
    <t>2026-01-14 07:11:00</t>
  </si>
  <si>
    <t>TXN100031</t>
  </si>
  <si>
    <t>2026-01-18 07:58:00</t>
  </si>
  <si>
    <t>TXN100032</t>
  </si>
  <si>
    <t>2026-01-26 14:42:00</t>
  </si>
  <si>
    <t>TXN100033</t>
  </si>
  <si>
    <t>2026-01-11 14:39:00</t>
  </si>
  <si>
    <t>TXN100034</t>
  </si>
  <si>
    <t>2026-01-15 05:47:00</t>
  </si>
  <si>
    <t>TXN100035</t>
  </si>
  <si>
    <t>2026-01-25 07:53:00</t>
  </si>
  <si>
    <t>TXN100036</t>
  </si>
  <si>
    <t>2026-01-25 16:31:00</t>
  </si>
  <si>
    <t>TXN100037</t>
  </si>
  <si>
    <t>2026-01-15 02:45:00</t>
  </si>
  <si>
    <t>TXN100038</t>
  </si>
  <si>
    <t>2026-01-11 10:57:00</t>
  </si>
  <si>
    <t>TXN100039</t>
  </si>
  <si>
    <t>2026-01-05 07:24:00</t>
  </si>
  <si>
    <t>TXN100040</t>
  </si>
  <si>
    <t>2026-01-14 13:21:00</t>
  </si>
  <si>
    <t>TXN100041</t>
  </si>
  <si>
    <t>2026-01-02 06:53:00</t>
  </si>
  <si>
    <t>TXN100042</t>
  </si>
  <si>
    <t>2026-01-19 22:01:00</t>
  </si>
  <si>
    <t>TXN100043</t>
  </si>
  <si>
    <t>2026-01-01 11:19:00</t>
  </si>
  <si>
    <t>TXN100044</t>
  </si>
  <si>
    <t>2026-01-24 23:34:00</t>
  </si>
  <si>
    <t>TXN100045</t>
  </si>
  <si>
    <t>2026-01-08 08:27:00</t>
  </si>
  <si>
    <t>TXN100046</t>
  </si>
  <si>
    <t>2026-01-11 21:43:00</t>
  </si>
  <si>
    <t>TXN100047</t>
  </si>
  <si>
    <t>2026-01-30 04:39:00</t>
  </si>
  <si>
    <t>TXN100048</t>
  </si>
  <si>
    <t>2026-01-19 18:42:00</t>
  </si>
  <si>
    <t>TXN100049</t>
  </si>
  <si>
    <t>2026-01-14 04:55:00</t>
  </si>
  <si>
    <t>TXN100050</t>
  </si>
  <si>
    <t>2026-01-09 12:20:00</t>
  </si>
  <si>
    <t>TXN100051</t>
  </si>
  <si>
    <t>2026-01-11 12:17:00</t>
  </si>
  <si>
    <t>TXN100052</t>
  </si>
  <si>
    <t>2026-01-16 00:47:00</t>
  </si>
  <si>
    <t>TXN100053</t>
  </si>
  <si>
    <t>2026-01-08 20:04:00</t>
  </si>
  <si>
    <t>TXN100054</t>
  </si>
  <si>
    <t>2026-01-01 07:12:00</t>
  </si>
  <si>
    <t>TXN100055</t>
  </si>
  <si>
    <t>2026-01-08 04:30:00</t>
  </si>
  <si>
    <t>TXN100056</t>
  </si>
  <si>
    <t>2026-01-07 14:44:00</t>
  </si>
  <si>
    <t>TXN100057</t>
  </si>
  <si>
    <t>2026-01-20 19:47:00</t>
  </si>
  <si>
    <t>TXN100058</t>
  </si>
  <si>
    <t>2026-01-04 18:01:00</t>
  </si>
  <si>
    <t>TXN100059</t>
  </si>
  <si>
    <t>2026-01-30 12:25:00</t>
  </si>
  <si>
    <t>TXN100060</t>
  </si>
  <si>
    <t>2026-01-23 20:15:00</t>
  </si>
  <si>
    <t>TXN100061</t>
  </si>
  <si>
    <t>2026-01-20 03:50:00</t>
  </si>
  <si>
    <t>TXN100062</t>
  </si>
  <si>
    <t>2026-01-18 13:42:00</t>
  </si>
  <si>
    <t>TXN100063</t>
  </si>
  <si>
    <t>2026-01-21 10:00:00</t>
  </si>
  <si>
    <t>TXN100064</t>
  </si>
  <si>
    <t>2026-01-14 11:40:00</t>
  </si>
  <si>
    <t>TXN100065</t>
  </si>
  <si>
    <t>2026-01-06 23:33:00</t>
  </si>
  <si>
    <t>TXN100066</t>
  </si>
  <si>
    <t>2026-01-26 17:49:00</t>
  </si>
  <si>
    <t>TXN100067</t>
  </si>
  <si>
    <t>2026-01-27 23:37:00</t>
  </si>
  <si>
    <t>TXN100068</t>
  </si>
  <si>
    <t>2026-01-27 02:17:00</t>
  </si>
  <si>
    <t>TXN100069</t>
  </si>
  <si>
    <t>2026-01-15 18:39:00</t>
  </si>
  <si>
    <t>TXN100070</t>
  </si>
  <si>
    <t>2026-01-01 15:54:00</t>
  </si>
  <si>
    <t>TXN100071</t>
  </si>
  <si>
    <t>2026-01-07 11:51:00</t>
  </si>
  <si>
    <t>TXN100072</t>
  </si>
  <si>
    <t>2026-01-29 19:44:00</t>
  </si>
  <si>
    <t>TXN100073</t>
  </si>
  <si>
    <t>2026-01-17 06:05:00</t>
  </si>
  <si>
    <t>TXN100074</t>
  </si>
  <si>
    <t>2026-01-18 07:44:00</t>
  </si>
  <si>
    <t>TXN100075</t>
  </si>
  <si>
    <t>2026-01-26 00:05:00</t>
  </si>
  <si>
    <t>TXN100076</t>
  </si>
  <si>
    <t>2026-01-23 07:19:00</t>
  </si>
  <si>
    <t>TXN100077</t>
  </si>
  <si>
    <t>2026-01-16 17:33:00</t>
  </si>
  <si>
    <t>TXN100078</t>
  </si>
  <si>
    <t>2026-01-18 10:22:00</t>
  </si>
  <si>
    <t>TXN100079</t>
  </si>
  <si>
    <t>2026-01-09 07:07:00</t>
  </si>
  <si>
    <t>TXN100080</t>
  </si>
  <si>
    <t>2026-01-24 17:48:00</t>
  </si>
  <si>
    <t>TXN100081</t>
  </si>
  <si>
    <t>2026-01-24 15:17:00</t>
  </si>
  <si>
    <t>TXN100082</t>
  </si>
  <si>
    <t>2026-01-10 03:53:00</t>
  </si>
  <si>
    <t>TXN100083</t>
  </si>
  <si>
    <t>2026-01-12 05:19:00</t>
  </si>
  <si>
    <t>TXN100084</t>
  </si>
  <si>
    <t>2026-01-09 01:03:00</t>
  </si>
  <si>
    <t>TXN100085</t>
  </si>
  <si>
    <t>2026-01-05 20:55:00</t>
  </si>
  <si>
    <t>TXN100086</t>
  </si>
  <si>
    <t>2026-01-19 09:30:00</t>
  </si>
  <si>
    <t>TXN100087</t>
  </si>
  <si>
    <t>2026-01-06 01:16:00</t>
  </si>
  <si>
    <t>TXN100088</t>
  </si>
  <si>
    <t>2026-01-13 15:04:00</t>
  </si>
  <si>
    <t>TXN100089</t>
  </si>
  <si>
    <t>2026-01-05 18:19:00</t>
  </si>
  <si>
    <t>TXN100090</t>
  </si>
  <si>
    <t>2026-01-18 13:38:00</t>
  </si>
  <si>
    <t>TXN100091</t>
  </si>
  <si>
    <t>2026-01-25 16:24:00</t>
  </si>
  <si>
    <t>TXN100092</t>
  </si>
  <si>
    <t>2026-01-28 18:27:00</t>
  </si>
  <si>
    <t>TXN100093</t>
  </si>
  <si>
    <t>2026-01-02 19:47:00</t>
  </si>
  <si>
    <t>TXN100094</t>
  </si>
  <si>
    <t>2026-01-07 08:42:00</t>
  </si>
  <si>
    <t>TXN100095</t>
  </si>
  <si>
    <t>2026-01-06 17:04:00</t>
  </si>
  <si>
    <t>TXN100096</t>
  </si>
  <si>
    <t>2026-01-15 22:38:00</t>
  </si>
  <si>
    <t>TXN100097</t>
  </si>
  <si>
    <t>2026-01-08 09:45:00</t>
  </si>
  <si>
    <t>TXN100098</t>
  </si>
  <si>
    <t>2026-01-22 07:59:00</t>
  </si>
  <si>
    <t>TXN100099</t>
  </si>
  <si>
    <t>2026-01-26 06:27:00</t>
  </si>
  <si>
    <t>TXN100100</t>
  </si>
  <si>
    <t>2026-01-21 04:58:00</t>
  </si>
  <si>
    <t>TXN100101</t>
  </si>
  <si>
    <t>2026-01-02 05:50:00</t>
  </si>
  <si>
    <t>TXN100102</t>
  </si>
  <si>
    <t>2026-01-27 18:58:00</t>
  </si>
  <si>
    <t>TXN100103</t>
  </si>
  <si>
    <t>2026-01-15 22:19:00</t>
  </si>
  <si>
    <t>TXN100104</t>
  </si>
  <si>
    <t>2026-01-18 15:28:00</t>
  </si>
  <si>
    <t>TXN100105</t>
  </si>
  <si>
    <t>2026-01-29 13:47:00</t>
  </si>
  <si>
    <t>TXN100106</t>
  </si>
  <si>
    <t>2026-01-01 02:14:00</t>
  </si>
  <si>
    <t>TXN100107</t>
  </si>
  <si>
    <t>2026-01-01 21:52:00</t>
  </si>
  <si>
    <t>TXN100108</t>
  </si>
  <si>
    <t>2026-01-25 05:30:00</t>
  </si>
  <si>
    <t>TXN100109</t>
  </si>
  <si>
    <t>2026-01-06 18:27:00</t>
  </si>
  <si>
    <t>TXN100110</t>
  </si>
  <si>
    <t>2026-01-16 11:26:00</t>
  </si>
  <si>
    <t>TXN100111</t>
  </si>
  <si>
    <t>2026-01-04 05:21:00</t>
  </si>
  <si>
    <t>TXN100112</t>
  </si>
  <si>
    <t>2026-01-22 12:52:00</t>
  </si>
  <si>
    <t>TXN100113</t>
  </si>
  <si>
    <t>2026-01-03 10:16:00</t>
  </si>
  <si>
    <t>TXN100114</t>
  </si>
  <si>
    <t>2026-01-13 16:52:00</t>
  </si>
  <si>
    <t>TXN100115</t>
  </si>
  <si>
    <t>2026-01-14 01:12:00</t>
  </si>
  <si>
    <t>TXN100116</t>
  </si>
  <si>
    <t>2026-01-25 15:40:00</t>
  </si>
  <si>
    <t>TXN100117</t>
  </si>
  <si>
    <t>2026-01-09 17:08:00</t>
  </si>
  <si>
    <t>TXN100118</t>
  </si>
  <si>
    <t>2026-01-16 03:01:00</t>
  </si>
  <si>
    <t>TXN100119</t>
  </si>
  <si>
    <t>2026-01-23 05:19:00</t>
  </si>
  <si>
    <t>TXN100120</t>
  </si>
  <si>
    <t>2026-01-14 02:14:00</t>
  </si>
  <si>
    <t>TXN100121</t>
  </si>
  <si>
    <t>2026-01-21 04:31:00</t>
  </si>
  <si>
    <t>TXN100122</t>
  </si>
  <si>
    <t>2026-01-09 13:53:00</t>
  </si>
  <si>
    <t>TXN100123</t>
  </si>
  <si>
    <t>2026-01-15 17:09:00</t>
  </si>
  <si>
    <t>TXN100124</t>
  </si>
  <si>
    <t>2026-01-17 23:56:00</t>
  </si>
  <si>
    <t>TXN100125</t>
  </si>
  <si>
    <t>2026-01-25 13:21:00</t>
  </si>
  <si>
    <t>TXN100126</t>
  </si>
  <si>
    <t>2026-01-10 23:19:00</t>
  </si>
  <si>
    <t>TXN100127</t>
  </si>
  <si>
    <t>2026-01-16 04:28:00</t>
  </si>
  <si>
    <t>TXN100128</t>
  </si>
  <si>
    <t>2026-01-11 17:48:00</t>
  </si>
  <si>
    <t>TXN100129</t>
  </si>
  <si>
    <t>2026-01-30 10:55:00</t>
  </si>
  <si>
    <t>TXN100130</t>
  </si>
  <si>
    <t>2026-01-13 07:54:00</t>
  </si>
  <si>
    <t>TXN100131</t>
  </si>
  <si>
    <t>2026-01-24 15:45:00</t>
  </si>
  <si>
    <t>TXN100132</t>
  </si>
  <si>
    <t>2026-01-26 20:09:00</t>
  </si>
  <si>
    <t>TXN100133</t>
  </si>
  <si>
    <t>2026-01-17 18:21:00</t>
  </si>
  <si>
    <t>TXN100134</t>
  </si>
  <si>
    <t>2026-01-17 14:00:00</t>
  </si>
  <si>
    <t>TXN100135</t>
  </si>
  <si>
    <t>2026-01-05 02:30:00</t>
  </si>
  <si>
    <t>TXN100136</t>
  </si>
  <si>
    <t>2026-01-23 12:41:00</t>
  </si>
  <si>
    <t>TXN100137</t>
  </si>
  <si>
    <t>2026-01-28 17:24:00</t>
  </si>
  <si>
    <t>TXN100138</t>
  </si>
  <si>
    <t>2026-01-02 19:04:00</t>
  </si>
  <si>
    <t>TXN100139</t>
  </si>
  <si>
    <t>2026-01-24 02:27:00</t>
  </si>
  <si>
    <t>TXN100140</t>
  </si>
  <si>
    <t>2026-01-06 22:19:00</t>
  </si>
  <si>
    <t>TXN100141</t>
  </si>
  <si>
    <t>2026-01-26 01:18:00</t>
  </si>
  <si>
    <t>TXN100142</t>
  </si>
  <si>
    <t>2026-01-05 07:33:00</t>
  </si>
  <si>
    <t>TXN100143</t>
  </si>
  <si>
    <t>2026-01-26 05:10:00</t>
  </si>
  <si>
    <t>TXN100144</t>
  </si>
  <si>
    <t>2026-01-28 12:39:00</t>
  </si>
  <si>
    <t>TXN100145</t>
  </si>
  <si>
    <t>2026-01-30 18:09:00</t>
  </si>
  <si>
    <t>TXN100146</t>
  </si>
  <si>
    <t>2026-01-09 14:16:00</t>
  </si>
  <si>
    <t>TXN100147</t>
  </si>
  <si>
    <t>2026-01-29 09:43:00</t>
  </si>
  <si>
    <t>TXN100148</t>
  </si>
  <si>
    <t>2026-01-15 11:37:00</t>
  </si>
  <si>
    <t>TXN100149</t>
  </si>
  <si>
    <t>2026-01-09 14:54:00</t>
  </si>
  <si>
    <t>TXN100150</t>
  </si>
  <si>
    <t>2026-01-28 15:06:00</t>
  </si>
  <si>
    <t>TXN100151</t>
  </si>
  <si>
    <t>2026-01-12 18:18:00</t>
  </si>
  <si>
    <t>TXN100152</t>
  </si>
  <si>
    <t>2026-01-13 08:00:00</t>
  </si>
  <si>
    <t>TXN100153</t>
  </si>
  <si>
    <t>2026-01-24 15:53:00</t>
  </si>
  <si>
    <t>TXN100154</t>
  </si>
  <si>
    <t>2026-01-26 11:14:00</t>
  </si>
  <si>
    <t>TXN100155</t>
  </si>
  <si>
    <t>2026-01-09 21:48:00</t>
  </si>
  <si>
    <t>TXN100156</t>
  </si>
  <si>
    <t>2026-01-04 20:41:00</t>
  </si>
  <si>
    <t>TXN100157</t>
  </si>
  <si>
    <t>2026-01-15 01:37:00</t>
  </si>
  <si>
    <t>TXN100158</t>
  </si>
  <si>
    <t>2026-01-30 09:20:00</t>
  </si>
  <si>
    <t>TXN100159</t>
  </si>
  <si>
    <t>2026-01-05 17:56:00</t>
  </si>
  <si>
    <t>TXN100160</t>
  </si>
  <si>
    <t>2026-01-30 08:53:00</t>
  </si>
  <si>
    <t>TXN100161</t>
  </si>
  <si>
    <t>2026-01-26 09:47:00</t>
  </si>
  <si>
    <t>TXN100162</t>
  </si>
  <si>
    <t>2026-01-03 04:48:00</t>
  </si>
  <si>
    <t>TXN100163</t>
  </si>
  <si>
    <t>2026-01-12 02:50:00</t>
  </si>
  <si>
    <t>TXN100164</t>
  </si>
  <si>
    <t>2026-01-18 03:29:00</t>
  </si>
  <si>
    <t>TXN100165</t>
  </si>
  <si>
    <t>2026-01-13 20:23:00</t>
  </si>
  <si>
    <t>TXN100166</t>
  </si>
  <si>
    <t>2026-01-01 19:56:00</t>
  </si>
  <si>
    <t>TXN100167</t>
  </si>
  <si>
    <t>TXN100168</t>
  </si>
  <si>
    <t>2026-01-10 20:26:00</t>
  </si>
  <si>
    <t>TXN100169</t>
  </si>
  <si>
    <t>2026-01-02 09:31:00</t>
  </si>
  <si>
    <t>TXN100170</t>
  </si>
  <si>
    <t>2026-01-29 17:08:00</t>
  </si>
  <si>
    <t>TXN100171</t>
  </si>
  <si>
    <t>2026-01-22 23:44:00</t>
  </si>
  <si>
    <t>TXN100172</t>
  </si>
  <si>
    <t>2026-01-24 23:09:00</t>
  </si>
  <si>
    <t>TXN100173</t>
  </si>
  <si>
    <t>2026-01-20 13:17:00</t>
  </si>
  <si>
    <t>TXN100174</t>
  </si>
  <si>
    <t>2026-01-15 14:15:00</t>
  </si>
  <si>
    <t>TXN100175</t>
  </si>
  <si>
    <t>2026-01-12 17:57:00</t>
  </si>
  <si>
    <t>TXN100176</t>
  </si>
  <si>
    <t>2026-01-13 08:12:00</t>
  </si>
  <si>
    <t>TXN100177</t>
  </si>
  <si>
    <t>2026-01-22 06:41:00</t>
  </si>
  <si>
    <t>TXN100178</t>
  </si>
  <si>
    <t>2026-01-02 10:15:00</t>
  </si>
  <si>
    <t>TXN100179</t>
  </si>
  <si>
    <t>2026-01-03 17:13:00</t>
  </si>
  <si>
    <t>TXN100180</t>
  </si>
  <si>
    <t>2026-01-11 04:50:00</t>
  </si>
  <si>
    <t>TXN100181</t>
  </si>
  <si>
    <t>2026-01-28 04:08:00</t>
  </si>
  <si>
    <t>TXN100182</t>
  </si>
  <si>
    <t>2026-01-04 21:55:00</t>
  </si>
  <si>
    <t>TXN100183</t>
  </si>
  <si>
    <t>2026-01-12 07:37:00</t>
  </si>
  <si>
    <t>TXN100184</t>
  </si>
  <si>
    <t>2026-01-09 01:08:00</t>
  </si>
  <si>
    <t>TXN100185</t>
  </si>
  <si>
    <t>2026-01-24 02:30:00</t>
  </si>
  <si>
    <t>TXN100186</t>
  </si>
  <si>
    <t>2026-01-19 03:28:00</t>
  </si>
  <si>
    <t>TXN100187</t>
  </si>
  <si>
    <t>2026-01-02 23:50:00</t>
  </si>
  <si>
    <t>TXN100188</t>
  </si>
  <si>
    <t>2026-01-15 20:01:00</t>
  </si>
  <si>
    <t>TXN100189</t>
  </si>
  <si>
    <t>2026-01-14 21:06:00</t>
  </si>
  <si>
    <t>TXN100190</t>
  </si>
  <si>
    <t>2026-01-29 02:20:00</t>
  </si>
  <si>
    <t>TXN100191</t>
  </si>
  <si>
    <t>2026-01-05 08:39:00</t>
  </si>
  <si>
    <t>TXN100192</t>
  </si>
  <si>
    <t>2026-01-23 10:24:00</t>
  </si>
  <si>
    <t>TXN100193</t>
  </si>
  <si>
    <t>2026-01-15 16:38:00</t>
  </si>
  <si>
    <t>TXN100194</t>
  </si>
  <si>
    <t>TXN100195</t>
  </si>
  <si>
    <t>2026-01-15 07:26:00</t>
  </si>
  <si>
    <t>TXN100196</t>
  </si>
  <si>
    <t>2026-01-14 23:06:00</t>
  </si>
  <si>
    <t>TXN100197</t>
  </si>
  <si>
    <t>2026-01-22 08:23:00</t>
  </si>
  <si>
    <t>TXN100198</t>
  </si>
  <si>
    <t>2026-01-03 02:05:00</t>
  </si>
  <si>
    <t>TXN100199</t>
  </si>
  <si>
    <t>2026-01-24 11:51:00</t>
  </si>
  <si>
    <t>TXN100200</t>
  </si>
  <si>
    <t>2026-01-19 17:35:00</t>
  </si>
  <si>
    <t>TXN100201</t>
  </si>
  <si>
    <t>2026-01-12 21:48:00</t>
  </si>
  <si>
    <t>TXN100202</t>
  </si>
  <si>
    <t>2026-01-20 09:22:00</t>
  </si>
  <si>
    <t>TXN100203</t>
  </si>
  <si>
    <t>2026-01-07 04:42:00</t>
  </si>
  <si>
    <t>TXN100204</t>
  </si>
  <si>
    <t>2026-01-12 17:23:00</t>
  </si>
  <si>
    <t>TXN100205</t>
  </si>
  <si>
    <t>2026-01-08 13:54:00</t>
  </si>
  <si>
    <t>TXN100206</t>
  </si>
  <si>
    <t>2026-01-22 20:35:00</t>
  </si>
  <si>
    <t>TXN100207</t>
  </si>
  <si>
    <t>2026-01-27 22:17:00</t>
  </si>
  <si>
    <t>TXN100208</t>
  </si>
  <si>
    <t>2026-01-23 09:58:00</t>
  </si>
  <si>
    <t>TXN100209</t>
  </si>
  <si>
    <t>2026-01-06 04:36:00</t>
  </si>
  <si>
    <t>TXN100210</t>
  </si>
  <si>
    <t>2026-01-05 23:40:00</t>
  </si>
  <si>
    <t>TXN100211</t>
  </si>
  <si>
    <t>2026-01-17 06:24:00</t>
  </si>
  <si>
    <t>TXN100212</t>
  </si>
  <si>
    <t>2026-01-06 11:19:00</t>
  </si>
  <si>
    <t>TXN100213</t>
  </si>
  <si>
    <t>2026-01-03 01:09:00</t>
  </si>
  <si>
    <t>TXN100214</t>
  </si>
  <si>
    <t>2026-01-22 02:17:00</t>
  </si>
  <si>
    <t>TXN100215</t>
  </si>
  <si>
    <t>2026-01-20 14:26:00</t>
  </si>
  <si>
    <t>TXN100216</t>
  </si>
  <si>
    <t>2026-01-17 03:22:00</t>
  </si>
  <si>
    <t>TXN100217</t>
  </si>
  <si>
    <t>2026-01-22 21:37:00</t>
  </si>
  <si>
    <t>TXN100218</t>
  </si>
  <si>
    <t>2026-01-10 01:14:00</t>
  </si>
  <si>
    <t>TXN100219</t>
  </si>
  <si>
    <t>2026-01-01 06:19:00</t>
  </si>
  <si>
    <t>TXN100220</t>
  </si>
  <si>
    <t>2026-01-09 09:20:00</t>
  </si>
  <si>
    <t>TXN100221</t>
  </si>
  <si>
    <t>2026-01-24 13:11:00</t>
  </si>
  <si>
    <t>TXN100222</t>
  </si>
  <si>
    <t>2026-01-23 07:32:00</t>
  </si>
  <si>
    <t>TXN100223</t>
  </si>
  <si>
    <t>2026-01-13 23:02:00</t>
  </si>
  <si>
    <t>TXN100224</t>
  </si>
  <si>
    <t>2026-01-30 02:55:00</t>
  </si>
  <si>
    <t>TXN100225</t>
  </si>
  <si>
    <t>2026-01-19 12:45:00</t>
  </si>
  <si>
    <t>TXN100226</t>
  </si>
  <si>
    <t>2026-01-04 12:01:00</t>
  </si>
  <si>
    <t>TXN100227</t>
  </si>
  <si>
    <t>2026-01-15 22:58:00</t>
  </si>
  <si>
    <t>TXN100228</t>
  </si>
  <si>
    <t>2026-01-28 03:15:00</t>
  </si>
  <si>
    <t>TXN100229</t>
  </si>
  <si>
    <t>2026-01-17 02:25:00</t>
  </si>
  <si>
    <t>TXN100230</t>
  </si>
  <si>
    <t>2026-01-11 05:04:00</t>
  </si>
  <si>
    <t>TXN100231</t>
  </si>
  <si>
    <t>2026-01-17 06:57:00</t>
  </si>
  <si>
    <t>TXN100232</t>
  </si>
  <si>
    <t>2026-01-27 20:52:00</t>
  </si>
  <si>
    <t>TXN100233</t>
  </si>
  <si>
    <t>2026-01-05 08:12:00</t>
  </si>
  <si>
    <t>TXN100234</t>
  </si>
  <si>
    <t>2026-01-25 20:04:00</t>
  </si>
  <si>
    <t>TXN100235</t>
  </si>
  <si>
    <t>2026-01-25 18:48:00</t>
  </si>
  <si>
    <t>TXN100236</t>
  </si>
  <si>
    <t>2026-01-30 18:41:00</t>
  </si>
  <si>
    <t>TXN100237</t>
  </si>
  <si>
    <t>2026-01-28 20:20:00</t>
  </si>
  <si>
    <t>TXN100238</t>
  </si>
  <si>
    <t>2026-01-16 14:40:00</t>
  </si>
  <si>
    <t>TXN100239</t>
  </si>
  <si>
    <t>2026-01-02 11:32:00</t>
  </si>
  <si>
    <t>TXN100240</t>
  </si>
  <si>
    <t>2026-01-15 01:03:00</t>
  </si>
  <si>
    <t>TXN100241</t>
  </si>
  <si>
    <t>2026-01-21 02:39:00</t>
  </si>
  <si>
    <t>TXN100242</t>
  </si>
  <si>
    <t>2026-01-15 18:35:00</t>
  </si>
  <si>
    <t>TXN100243</t>
  </si>
  <si>
    <t>2026-01-21 06:20:00</t>
  </si>
  <si>
    <t>TXN100244</t>
  </si>
  <si>
    <t>2026-01-05 01:28:00</t>
  </si>
  <si>
    <t>TXN100245</t>
  </si>
  <si>
    <t>2026-01-03 16:41:00</t>
  </si>
  <si>
    <t>TXN100246</t>
  </si>
  <si>
    <t>2026-01-23 14:28:00</t>
  </si>
  <si>
    <t>TXN100247</t>
  </si>
  <si>
    <t>2026-01-06 11:23:00</t>
  </si>
  <si>
    <t>TXN100248</t>
  </si>
  <si>
    <t>2026-01-25 10:43:00</t>
  </si>
  <si>
    <t>TXN100249</t>
  </si>
  <si>
    <t>2026-01-21 10:04:00</t>
  </si>
  <si>
    <t>TXN100250</t>
  </si>
  <si>
    <t>2026-01-22 12:18:00</t>
  </si>
  <si>
    <t>TXN100251</t>
  </si>
  <si>
    <t>2026-01-11 02:37:00</t>
  </si>
  <si>
    <t>TXN100252</t>
  </si>
  <si>
    <t>2026-01-10 20:44:00</t>
  </si>
  <si>
    <t>TXN100253</t>
  </si>
  <si>
    <t>2026-01-20 22:05:00</t>
  </si>
  <si>
    <t>TXN100254</t>
  </si>
  <si>
    <t>2026-01-21 10:52:00</t>
  </si>
  <si>
    <t>TXN100255</t>
  </si>
  <si>
    <t>2026-01-21 21:27:00</t>
  </si>
  <si>
    <t>TXN100256</t>
  </si>
  <si>
    <t>2026-01-12 09:11:00</t>
  </si>
  <si>
    <t>TXN100257</t>
  </si>
  <si>
    <t>2026-01-16 06:14:00</t>
  </si>
  <si>
    <t>TXN100258</t>
  </si>
  <si>
    <t>2026-01-10 03:32:00</t>
  </si>
  <si>
    <t>TXN100259</t>
  </si>
  <si>
    <t>2026-01-22 10:56:00</t>
  </si>
  <si>
    <t>TXN100260</t>
  </si>
  <si>
    <t>2026-01-13 04:10:00</t>
  </si>
  <si>
    <t>TXN100261</t>
  </si>
  <si>
    <t>2026-01-24 14:02:00</t>
  </si>
  <si>
    <t>TXN100262</t>
  </si>
  <si>
    <t>2026-01-24 07:28:00</t>
  </si>
  <si>
    <t>TXN100263</t>
  </si>
  <si>
    <t>2026-01-24 14:14:00</t>
  </si>
  <si>
    <t>TXN100264</t>
  </si>
  <si>
    <t>2026-01-26 15:57:00</t>
  </si>
  <si>
    <t>TXN100265</t>
  </si>
  <si>
    <t>2026-01-19 14:29:00</t>
  </si>
  <si>
    <t>TXN100266</t>
  </si>
  <si>
    <t>2026-01-17 13:10:00</t>
  </si>
  <si>
    <t>TXN100267</t>
  </si>
  <si>
    <t>2026-01-28 08:03:00</t>
  </si>
  <si>
    <t>TXN100268</t>
  </si>
  <si>
    <t>2026-01-18 03:45:00</t>
  </si>
  <si>
    <t>TXN100269</t>
  </si>
  <si>
    <t>2026-01-03 05:17:00</t>
  </si>
  <si>
    <t>TXN100270</t>
  </si>
  <si>
    <t>2026-01-27 13:05:00</t>
  </si>
  <si>
    <t>TXN100271</t>
  </si>
  <si>
    <t>2026-01-30 00:26:00</t>
  </si>
  <si>
    <t>TXN100272</t>
  </si>
  <si>
    <t>2026-01-12 07:24:00</t>
  </si>
  <si>
    <t>TXN100273</t>
  </si>
  <si>
    <t>2026-01-01 10:59:00</t>
  </si>
  <si>
    <t>TXN100274</t>
  </si>
  <si>
    <t>2026-01-05 01:18:00</t>
  </si>
  <si>
    <t>TXN100275</t>
  </si>
  <si>
    <t>2026-01-23 15:28:00</t>
  </si>
  <si>
    <t>TXN100276</t>
  </si>
  <si>
    <t>2026-01-01 08:13:00</t>
  </si>
  <si>
    <t>TXN100277</t>
  </si>
  <si>
    <t>2026-01-20 16:27:00</t>
  </si>
  <si>
    <t>TXN100278</t>
  </si>
  <si>
    <t>2026-01-10 03:03:00</t>
  </si>
  <si>
    <t>TXN100279</t>
  </si>
  <si>
    <t>2026-01-26 19:29:00</t>
  </si>
  <si>
    <t>TXN100280</t>
  </si>
  <si>
    <t>2026-01-20 17:01:00</t>
  </si>
  <si>
    <t>TXN100281</t>
  </si>
  <si>
    <t>2026-01-08 22:09:00</t>
  </si>
  <si>
    <t>TXN100282</t>
  </si>
  <si>
    <t>2026-01-20 11:15:00</t>
  </si>
  <si>
    <t>TXN100283</t>
  </si>
  <si>
    <t>2026-01-22 21:05:00</t>
  </si>
  <si>
    <t>TXN100284</t>
  </si>
  <si>
    <t>2026-01-17 17:32:00</t>
  </si>
  <si>
    <t>TXN100285</t>
  </si>
  <si>
    <t>2026-01-13 15:02:00</t>
  </si>
  <si>
    <t>TXN100286</t>
  </si>
  <si>
    <t>2026-01-09 23:01:00</t>
  </si>
  <si>
    <t>TXN100287</t>
  </si>
  <si>
    <t>2026-01-08 23:42:00</t>
  </si>
  <si>
    <t>TXN100288</t>
  </si>
  <si>
    <t>2026-01-19 23:48:00</t>
  </si>
  <si>
    <t>TXN100289</t>
  </si>
  <si>
    <t>2026-01-12 17:21:00</t>
  </si>
  <si>
    <t>TXN100290</t>
  </si>
  <si>
    <t>2026-01-22 14:44:00</t>
  </si>
  <si>
    <t>TXN100291</t>
  </si>
  <si>
    <t>2026-01-03 22:49:00</t>
  </si>
  <si>
    <t>TXN100292</t>
  </si>
  <si>
    <t>2026-01-07 01:50:00</t>
  </si>
  <si>
    <t>TXN100293</t>
  </si>
  <si>
    <t>2026-01-30 09:32:00</t>
  </si>
  <si>
    <t>TXN100294</t>
  </si>
  <si>
    <t>2026-01-09 01:48:00</t>
  </si>
  <si>
    <t>TXN100295</t>
  </si>
  <si>
    <t>2026-01-12 01:55:00</t>
  </si>
  <si>
    <t>TXN100296</t>
  </si>
  <si>
    <t>2026-01-04 11:27:00</t>
  </si>
  <si>
    <t>TXN100297</t>
  </si>
  <si>
    <t>2026-01-11 05:31:00</t>
  </si>
  <si>
    <t>TXN100298</t>
  </si>
  <si>
    <t>2026-01-09 02:46:00</t>
  </si>
  <si>
    <t>TXN100299</t>
  </si>
  <si>
    <t>2026-01-20 05:34:00</t>
  </si>
  <si>
    <t>TXN100300</t>
  </si>
  <si>
    <t>2026-01-03 10:42:00</t>
  </si>
  <si>
    <t>TXN100301</t>
  </si>
  <si>
    <t>2026-01-20 22:27:00</t>
  </si>
  <si>
    <t>TXN100302</t>
  </si>
  <si>
    <t>2026-01-15 01:46:00</t>
  </si>
  <si>
    <t>TXN100303</t>
  </si>
  <si>
    <t>2026-01-09 20:50:00</t>
  </si>
  <si>
    <t>TXN100304</t>
  </si>
  <si>
    <t>2026-01-21 12:23:00</t>
  </si>
  <si>
    <t>TXN100305</t>
  </si>
  <si>
    <t>2026-01-05 19:43:00</t>
  </si>
  <si>
    <t>TXN100306</t>
  </si>
  <si>
    <t>2026-01-03 07:49:00</t>
  </si>
  <si>
    <t>TXN100307</t>
  </si>
  <si>
    <t>2026-01-13 18:02:00</t>
  </si>
  <si>
    <t>TXN100308</t>
  </si>
  <si>
    <t>2026-01-15 11:23:00</t>
  </si>
  <si>
    <t>TXN100309</t>
  </si>
  <si>
    <t>2026-01-05 16:23:00</t>
  </si>
  <si>
    <t>TXN100310</t>
  </si>
  <si>
    <t>TXN100311</t>
  </si>
  <si>
    <t>2026-01-17 12:58:00</t>
  </si>
  <si>
    <t>TXN100312</t>
  </si>
  <si>
    <t>2026-01-25 08:45:00</t>
  </si>
  <si>
    <t>TXN100313</t>
  </si>
  <si>
    <t>2026-01-10 22:58:00</t>
  </si>
  <si>
    <t>TXN100314</t>
  </si>
  <si>
    <t>2026-01-05 02:28:00</t>
  </si>
  <si>
    <t>TXN100315</t>
  </si>
  <si>
    <t>2026-01-26 21:54:00</t>
  </si>
  <si>
    <t>TXN100316</t>
  </si>
  <si>
    <t>2026-01-03 17:34:00</t>
  </si>
  <si>
    <t>TXN100317</t>
  </si>
  <si>
    <t>2026-01-23 22:59:00</t>
  </si>
  <si>
    <t>TXN100318</t>
  </si>
  <si>
    <t>2026-01-17 07:07:00</t>
  </si>
  <si>
    <t>TXN100319</t>
  </si>
  <si>
    <t>2026-01-26 15:01:00</t>
  </si>
  <si>
    <t>TXN100320</t>
  </si>
  <si>
    <t>2026-01-12 14:51:00</t>
  </si>
  <si>
    <t>TXN100321</t>
  </si>
  <si>
    <t>2026-01-29 02:04:00</t>
  </si>
  <si>
    <t>TXN100322</t>
  </si>
  <si>
    <t>2026-01-24 15:33:00</t>
  </si>
  <si>
    <t>TXN100323</t>
  </si>
  <si>
    <t>2026-01-03 04:20:00</t>
  </si>
  <si>
    <t>TXN100324</t>
  </si>
  <si>
    <t>2026-01-15 21:33:00</t>
  </si>
  <si>
    <t>TXN100325</t>
  </si>
  <si>
    <t>2026-01-18 20:37:00</t>
  </si>
  <si>
    <t>TXN100326</t>
  </si>
  <si>
    <t>2026-01-17 01:53:00</t>
  </si>
  <si>
    <t>TXN100327</t>
  </si>
  <si>
    <t>2026-01-10 05:10:00</t>
  </si>
  <si>
    <t>TXN100328</t>
  </si>
  <si>
    <t>2026-01-17 09:54:00</t>
  </si>
  <si>
    <t>TXN100329</t>
  </si>
  <si>
    <t>2026-01-21 17:17:00</t>
  </si>
  <si>
    <t>TXN100330</t>
  </si>
  <si>
    <t>2026-01-18 02:32:00</t>
  </si>
  <si>
    <t>TXN100331</t>
  </si>
  <si>
    <t>2026-01-19 04:10:00</t>
  </si>
  <si>
    <t>TXN100332</t>
  </si>
  <si>
    <t>2026-01-29 19:21:00</t>
  </si>
  <si>
    <t>TXN100333</t>
  </si>
  <si>
    <t>2026-01-03 01:41:00</t>
  </si>
  <si>
    <t>TXN100334</t>
  </si>
  <si>
    <t>2026-01-07 18:26:00</t>
  </si>
  <si>
    <t>TXN100335</t>
  </si>
  <si>
    <t>2026-01-29 20:34:00</t>
  </si>
  <si>
    <t>TXN100336</t>
  </si>
  <si>
    <t>2026-01-08 21:25:00</t>
  </si>
  <si>
    <t>TXN100337</t>
  </si>
  <si>
    <t>2026-01-23 01:10:00</t>
  </si>
  <si>
    <t>TXN100338</t>
  </si>
  <si>
    <t>2026-01-15 06:21:00</t>
  </si>
  <si>
    <t>TXN100339</t>
  </si>
  <si>
    <t>2026-01-28 22:20:00</t>
  </si>
  <si>
    <t>TXN100340</t>
  </si>
  <si>
    <t>2026-01-25 11:32:00</t>
  </si>
  <si>
    <t>TXN100341</t>
  </si>
  <si>
    <t>2026-01-08 14:07:00</t>
  </si>
  <si>
    <t>TXN100342</t>
  </si>
  <si>
    <t>2026-01-05 03:03:00</t>
  </si>
  <si>
    <t>TXN100343</t>
  </si>
  <si>
    <t>2026-01-14 07:55:00</t>
  </si>
  <si>
    <t>TXN100344</t>
  </si>
  <si>
    <t>2026-01-24 10:12:00</t>
  </si>
  <si>
    <t>TXN100345</t>
  </si>
  <si>
    <t>2026-01-15 15:56:00</t>
  </si>
  <si>
    <t>TXN100346</t>
  </si>
  <si>
    <t>2026-01-03 12:32:00</t>
  </si>
  <si>
    <t>TXN100347</t>
  </si>
  <si>
    <t>2026-01-19 11:03:00</t>
  </si>
  <si>
    <t>TXN100348</t>
  </si>
  <si>
    <t>2026-01-20 20:43:00</t>
  </si>
  <si>
    <t>TXN100349</t>
  </si>
  <si>
    <t>2026-01-01 03:27:00</t>
  </si>
  <si>
    <t>TXN100350</t>
  </si>
  <si>
    <t>2026-01-12 12:23:00</t>
  </si>
  <si>
    <t>TXN100351</t>
  </si>
  <si>
    <t>2026-01-19 17:12:00</t>
  </si>
  <si>
    <t>TXN100352</t>
  </si>
  <si>
    <t>TXN100353</t>
  </si>
  <si>
    <t>2026-01-27 19:43:00</t>
  </si>
  <si>
    <t>TXN100354</t>
  </si>
  <si>
    <t>2026-01-04 12:23:00</t>
  </si>
  <si>
    <t>TXN100355</t>
  </si>
  <si>
    <t>2026-01-25 04:12:00</t>
  </si>
  <si>
    <t>TXN100356</t>
  </si>
  <si>
    <t>2026-01-17 01:02:00</t>
  </si>
  <si>
    <t>TXN100357</t>
  </si>
  <si>
    <t>2026-01-11 15:33:00</t>
  </si>
  <si>
    <t>TXN100358</t>
  </si>
  <si>
    <t>2026-01-29 16:08:00</t>
  </si>
  <si>
    <t>TXN100359</t>
  </si>
  <si>
    <t>2026-01-06 12:39:00</t>
  </si>
  <si>
    <t>TXN100360</t>
  </si>
  <si>
    <t>2026-01-17 16:34:00</t>
  </si>
  <si>
    <t>TXN100361</t>
  </si>
  <si>
    <t>2026-01-16 00:23:00</t>
  </si>
  <si>
    <t>TXN100362</t>
  </si>
  <si>
    <t>2026-01-19 09:50:00</t>
  </si>
  <si>
    <t>TXN100363</t>
  </si>
  <si>
    <t>2026-01-16 08:41:00</t>
  </si>
  <si>
    <t>TXN100364</t>
  </si>
  <si>
    <t>2026-01-24 01:37:00</t>
  </si>
  <si>
    <t>TXN100365</t>
  </si>
  <si>
    <t>2026-01-21 23:39:00</t>
  </si>
  <si>
    <t>TXN100366</t>
  </si>
  <si>
    <t>2026-01-08 01:36:00</t>
  </si>
  <si>
    <t>TXN100367</t>
  </si>
  <si>
    <t>2026-01-15 10:26:00</t>
  </si>
  <si>
    <t>TXN100368</t>
  </si>
  <si>
    <t>2026-01-07 13:32:00</t>
  </si>
  <si>
    <t>TXN100369</t>
  </si>
  <si>
    <t>2026-01-24 01:45:00</t>
  </si>
  <si>
    <t>TXN100370</t>
  </si>
  <si>
    <t>2026-01-18 10:42:00</t>
  </si>
  <si>
    <t>TXN100371</t>
  </si>
  <si>
    <t>2026-01-11 05:29:00</t>
  </si>
  <si>
    <t>TXN100372</t>
  </si>
  <si>
    <t>2026-01-12 21:49:00</t>
  </si>
  <si>
    <t>TXN100373</t>
  </si>
  <si>
    <t>2026-01-16 06:15:00</t>
  </si>
  <si>
    <t>TXN100374</t>
  </si>
  <si>
    <t>2026-01-08 09:49:00</t>
  </si>
  <si>
    <t>TXN100375</t>
  </si>
  <si>
    <t>2026-01-23 15:20:00</t>
  </si>
  <si>
    <t>TXN100376</t>
  </si>
  <si>
    <t>2026-01-30 23:17:00</t>
  </si>
  <si>
    <t>TXN100377</t>
  </si>
  <si>
    <t>2026-01-22 17:24:00</t>
  </si>
  <si>
    <t>TXN100378</t>
  </si>
  <si>
    <t>2026-01-26 04:18:00</t>
  </si>
  <si>
    <t>TXN100379</t>
  </si>
  <si>
    <t>2026-01-03 11:59:00</t>
  </si>
  <si>
    <t>TXN100380</t>
  </si>
  <si>
    <t>2026-01-16 06:12:00</t>
  </si>
  <si>
    <t>TXN100381</t>
  </si>
  <si>
    <t>2026-01-23 08:08:00</t>
  </si>
  <si>
    <t>TXN100382</t>
  </si>
  <si>
    <t>2026-01-19 07:15:00</t>
  </si>
  <si>
    <t>TXN100383</t>
  </si>
  <si>
    <t>2026-01-21 07:03:00</t>
  </si>
  <si>
    <t>TXN100384</t>
  </si>
  <si>
    <t>2026-01-23 15:06:00</t>
  </si>
  <si>
    <t>TXN100385</t>
  </si>
  <si>
    <t>2026-01-18 05:26:00</t>
  </si>
  <si>
    <t>TXN100386</t>
  </si>
  <si>
    <t>2026-01-21 06:48:00</t>
  </si>
  <si>
    <t>TXN100387</t>
  </si>
  <si>
    <t>2026-01-21 01:58:00</t>
  </si>
  <si>
    <t>TXN100388</t>
  </si>
  <si>
    <t>2026-01-18 23:46:00</t>
  </si>
  <si>
    <t>TXN100389</t>
  </si>
  <si>
    <t>2026-01-29 05:59:00</t>
  </si>
  <si>
    <t>TXN100390</t>
  </si>
  <si>
    <t>2026-01-16 05:59:00</t>
  </si>
  <si>
    <t>TXN100391</t>
  </si>
  <si>
    <t>2026-01-10 18:38:00</t>
  </si>
  <si>
    <t>TXN100392</t>
  </si>
  <si>
    <t>2026-01-15 20:34:00</t>
  </si>
  <si>
    <t>TXN100393</t>
  </si>
  <si>
    <t>2026-01-28 16:29:00</t>
  </si>
  <si>
    <t>TXN100394</t>
  </si>
  <si>
    <t>2026-01-11 05:46:00</t>
  </si>
  <si>
    <t>TXN100395</t>
  </si>
  <si>
    <t>2026-01-06 00:47:00</t>
  </si>
  <si>
    <t>TXN100396</t>
  </si>
  <si>
    <t>2026-01-22 06:11:00</t>
  </si>
  <si>
    <t>TXN100397</t>
  </si>
  <si>
    <t>2026-01-17 10:05:00</t>
  </si>
  <si>
    <t>TXN100398</t>
  </si>
  <si>
    <t>2026-01-05 15:20:00</t>
  </si>
  <si>
    <t>TXN100399</t>
  </si>
  <si>
    <t>2026-01-13 07:28:00</t>
  </si>
  <si>
    <t>TXN100400</t>
  </si>
  <si>
    <t>2026-01-19 23:36:00</t>
  </si>
  <si>
    <t>TXN100401</t>
  </si>
  <si>
    <t>2026-01-12 22:15:00</t>
  </si>
  <si>
    <t>TXN100402</t>
  </si>
  <si>
    <t>2026-01-10 05:25:00</t>
  </si>
  <si>
    <t>TXN100403</t>
  </si>
  <si>
    <t>2026-01-04 20:58:00</t>
  </si>
  <si>
    <t>TXN100404</t>
  </si>
  <si>
    <t>2026-01-08 07:08:00</t>
  </si>
  <si>
    <t>TXN100405</t>
  </si>
  <si>
    <t>2026-01-24 19:23:00</t>
  </si>
  <si>
    <t>TXN100406</t>
  </si>
  <si>
    <t>2026-01-25 17:51:00</t>
  </si>
  <si>
    <t>TXN100407</t>
  </si>
  <si>
    <t>2026-01-08 21:48:00</t>
  </si>
  <si>
    <t>TXN100408</t>
  </si>
  <si>
    <t>2026-01-15 16:45:00</t>
  </si>
  <si>
    <t>TXN100409</t>
  </si>
  <si>
    <t>2026-01-04 01:53:00</t>
  </si>
  <si>
    <t>TXN100410</t>
  </si>
  <si>
    <t>2026-01-19 17:09:00</t>
  </si>
  <si>
    <t>TXN100411</t>
  </si>
  <si>
    <t>2026-01-15 03:43:00</t>
  </si>
  <si>
    <t>TXN100412</t>
  </si>
  <si>
    <t>2026-01-03 16:28:00</t>
  </si>
  <si>
    <t>TXN100413</t>
  </si>
  <si>
    <t>2026-01-17 13:29:00</t>
  </si>
  <si>
    <t>TXN100414</t>
  </si>
  <si>
    <t>2026-01-15 21:51:00</t>
  </si>
  <si>
    <t>TXN100415</t>
  </si>
  <si>
    <t>2026-01-09 00:47:00</t>
  </si>
  <si>
    <t>TXN100416</t>
  </si>
  <si>
    <t>2026-01-02 13:22:00</t>
  </si>
  <si>
    <t>TXN100417</t>
  </si>
  <si>
    <t>2026-01-30 02:59:00</t>
  </si>
  <si>
    <t>TXN100418</t>
  </si>
  <si>
    <t>2026-01-14 05:49:00</t>
  </si>
  <si>
    <t>TXN100419</t>
  </si>
  <si>
    <t>2026-01-29 12:28:00</t>
  </si>
  <si>
    <t>TXN100420</t>
  </si>
  <si>
    <t>2026-01-22 21:55:00</t>
  </si>
  <si>
    <t>TXN100421</t>
  </si>
  <si>
    <t>2026-01-28 11:07:00</t>
  </si>
  <si>
    <t>TXN100422</t>
  </si>
  <si>
    <t>2026-01-17 04:46:00</t>
  </si>
  <si>
    <t>TXN100423</t>
  </si>
  <si>
    <t>2026-01-01 09:29:00</t>
  </si>
  <si>
    <t>TXN100424</t>
  </si>
  <si>
    <t>2026-01-18 12:52:00</t>
  </si>
  <si>
    <t>TXN100425</t>
  </si>
  <si>
    <t>2026-01-12 04:17:00</t>
  </si>
  <si>
    <t>TXN100426</t>
  </si>
  <si>
    <t>2026-01-26 21:26:00</t>
  </si>
  <si>
    <t>TXN100427</t>
  </si>
  <si>
    <t>2026-01-07 02:06:00</t>
  </si>
  <si>
    <t>TXN100428</t>
  </si>
  <si>
    <t>2026-01-20 21:45:00</t>
  </si>
  <si>
    <t>TXN100429</t>
  </si>
  <si>
    <t>2026-01-02 12:28:00</t>
  </si>
  <si>
    <t>TXN100430</t>
  </si>
  <si>
    <t>2026-01-25 01:08:00</t>
  </si>
  <si>
    <t>TXN100431</t>
  </si>
  <si>
    <t>2026-01-27 23:36:00</t>
  </si>
  <si>
    <t>TXN100432</t>
  </si>
  <si>
    <t>2026-01-25 21:52:00</t>
  </si>
  <si>
    <t>TXN100433</t>
  </si>
  <si>
    <t>2026-01-29 04:42:00</t>
  </si>
  <si>
    <t>TXN100434</t>
  </si>
  <si>
    <t>2026-01-10 08:03:00</t>
  </si>
  <si>
    <t>TXN100435</t>
  </si>
  <si>
    <t>2026-01-30 05:40:00</t>
  </si>
  <si>
    <t>TXN100436</t>
  </si>
  <si>
    <t>2026-01-16 01:22:00</t>
  </si>
  <si>
    <t>TXN100437</t>
  </si>
  <si>
    <t>2026-01-17 10:44:00</t>
  </si>
  <si>
    <t>TXN100438</t>
  </si>
  <si>
    <t>2026-01-10 12:11:00</t>
  </si>
  <si>
    <t>TXN100439</t>
  </si>
  <si>
    <t>2026-01-28 07:19:00</t>
  </si>
  <si>
    <t>TXN100440</t>
  </si>
  <si>
    <t>2026-01-18 13:26:00</t>
  </si>
  <si>
    <t>TXN100441</t>
  </si>
  <si>
    <t>2026-01-13 07:16:00</t>
  </si>
  <si>
    <t>TXN100442</t>
  </si>
  <si>
    <t>2026-01-03 14:54:00</t>
  </si>
  <si>
    <t>TXN100443</t>
  </si>
  <si>
    <t>2026-01-24 06:03:00</t>
  </si>
  <si>
    <t>TXN100444</t>
  </si>
  <si>
    <t>2026-01-20 19:02:00</t>
  </si>
  <si>
    <t>TXN100445</t>
  </si>
  <si>
    <t>2026-01-19 23:42:00</t>
  </si>
  <si>
    <t>TXN100446</t>
  </si>
  <si>
    <t>2026-01-07 10:19:00</t>
  </si>
  <si>
    <t>TXN100447</t>
  </si>
  <si>
    <t>2026-01-24 03:47:00</t>
  </si>
  <si>
    <t>TXN100448</t>
  </si>
  <si>
    <t>2026-01-20 22:13:00</t>
  </si>
  <si>
    <t>TXN100449</t>
  </si>
  <si>
    <t>2026-01-11 09:24:00</t>
  </si>
  <si>
    <t>TXN100450</t>
  </si>
  <si>
    <t>2026-01-12 09:16:00</t>
  </si>
  <si>
    <t>TXN100451</t>
  </si>
  <si>
    <t>2026-01-15 03:51:00</t>
  </si>
  <si>
    <t>TXN100452</t>
  </si>
  <si>
    <t>2026-01-12 10:26:00</t>
  </si>
  <si>
    <t>TXN100453</t>
  </si>
  <si>
    <t>2026-01-24 04:01:00</t>
  </si>
  <si>
    <t>TXN100454</t>
  </si>
  <si>
    <t>2026-01-19 23:26:00</t>
  </si>
  <si>
    <t>TXN100455</t>
  </si>
  <si>
    <t>2026-01-11 07:24:00</t>
  </si>
  <si>
    <t>TXN100456</t>
  </si>
  <si>
    <t>2026-01-18 20:43:00</t>
  </si>
  <si>
    <t>TXN100457</t>
  </si>
  <si>
    <t>2026-01-27 15:46:00</t>
  </si>
  <si>
    <t>TXN100458</t>
  </si>
  <si>
    <t>2026-01-06 23:50:00</t>
  </si>
  <si>
    <t>TXN100459</t>
  </si>
  <si>
    <t>2026-01-24 17:31:00</t>
  </si>
  <si>
    <t>TXN100460</t>
  </si>
  <si>
    <t>2026-01-02 16:02:00</t>
  </si>
  <si>
    <t>TXN100461</t>
  </si>
  <si>
    <t>2026-01-01 13:08:00</t>
  </si>
  <si>
    <t>TXN100462</t>
  </si>
  <si>
    <t>2026-01-23 04:00:00</t>
  </si>
  <si>
    <t>TXN100463</t>
  </si>
  <si>
    <t>2026-01-12 01:39:00</t>
  </si>
  <si>
    <t>TXN100464</t>
  </si>
  <si>
    <t>2026-01-22 15:01:00</t>
  </si>
  <si>
    <t>TXN100465</t>
  </si>
  <si>
    <t>2026-01-14 00:01:00</t>
  </si>
  <si>
    <t>TXN100466</t>
  </si>
  <si>
    <t>2026-01-10 00:32:00</t>
  </si>
  <si>
    <t>TXN100467</t>
  </si>
  <si>
    <t>2026-01-04 03:33:00</t>
  </si>
  <si>
    <t>TXN100468</t>
  </si>
  <si>
    <t>2026-01-20 16:16:00</t>
  </si>
  <si>
    <t>TXN100469</t>
  </si>
  <si>
    <t>2026-01-03 11:25:00</t>
  </si>
  <si>
    <t>TXN100470</t>
  </si>
  <si>
    <t>TXN100471</t>
  </si>
  <si>
    <t>2026-01-13 12:24:00</t>
  </si>
  <si>
    <t>TXN100472</t>
  </si>
  <si>
    <t>2026-01-21 00:44:00</t>
  </si>
  <si>
    <t>TXN100473</t>
  </si>
  <si>
    <t>2026-01-28 13:41:00</t>
  </si>
  <si>
    <t>TXN100474</t>
  </si>
  <si>
    <t>2026-01-29 16:58:00</t>
  </si>
  <si>
    <t>TXN100475</t>
  </si>
  <si>
    <t>2026-01-29 22:56:00</t>
  </si>
  <si>
    <t>TXN100476</t>
  </si>
  <si>
    <t>2026-01-02 02:43:00</t>
  </si>
  <si>
    <t>TXN100477</t>
  </si>
  <si>
    <t>2026-01-22 01:11:00</t>
  </si>
  <si>
    <t>TXN100478</t>
  </si>
  <si>
    <t>2026-01-19 04:48:00</t>
  </si>
  <si>
    <t>TXN100479</t>
  </si>
  <si>
    <t>2026-01-06 18:15:00</t>
  </si>
  <si>
    <t>TXN100480</t>
  </si>
  <si>
    <t>2026-01-29 17:21:00</t>
  </si>
  <si>
    <t>TXN100481</t>
  </si>
  <si>
    <t>2026-01-24 02:32:00</t>
  </si>
  <si>
    <t>TXN100482</t>
  </si>
  <si>
    <t>2026-01-14 07:53:00</t>
  </si>
  <si>
    <t>TXN100483</t>
  </si>
  <si>
    <t>2026-01-25 19:38:00</t>
  </si>
  <si>
    <t>TXN100484</t>
  </si>
  <si>
    <t>2026-01-21 08:50:00</t>
  </si>
  <si>
    <t>TXN100485</t>
  </si>
  <si>
    <t>2026-01-12 17:24:00</t>
  </si>
  <si>
    <t>TXN100486</t>
  </si>
  <si>
    <t>2026-01-19 21:24:00</t>
  </si>
  <si>
    <t>TXN100487</t>
  </si>
  <si>
    <t>2026-01-26 07:45:00</t>
  </si>
  <si>
    <t>TXN100488</t>
  </si>
  <si>
    <t>2026-01-05 12:45:00</t>
  </si>
  <si>
    <t>TXN100489</t>
  </si>
  <si>
    <t>2026-01-13 10:23:00</t>
  </si>
  <si>
    <t>TXN100490</t>
  </si>
  <si>
    <t>2026-01-10 14:23:00</t>
  </si>
  <si>
    <t>TXN100491</t>
  </si>
  <si>
    <t>2026-01-03 05:27:00</t>
  </si>
  <si>
    <t>TXN100492</t>
  </si>
  <si>
    <t>2026-01-17 13:06:00</t>
  </si>
  <si>
    <t>TXN100493</t>
  </si>
  <si>
    <t>2026-01-18 02:38:00</t>
  </si>
  <si>
    <t>TXN100494</t>
  </si>
  <si>
    <t>2026-01-01 09:26:00</t>
  </si>
  <si>
    <t>TXN100495</t>
  </si>
  <si>
    <t>2026-01-29 17:57:00</t>
  </si>
  <si>
    <t>TXN100496</t>
  </si>
  <si>
    <t>2026-01-06 21:24:00</t>
  </si>
  <si>
    <t>TXN100497</t>
  </si>
  <si>
    <t>2026-01-10 08:31:00</t>
  </si>
  <si>
    <t>TXN100498</t>
  </si>
  <si>
    <t>2026-01-14 08:26:00</t>
  </si>
  <si>
    <t>TXN100499</t>
  </si>
  <si>
    <t>2026-01-03 11:16:00</t>
  </si>
  <si>
    <t>TXN200000</t>
  </si>
  <si>
    <t>2026-01-30 06:00:00</t>
  </si>
  <si>
    <t>TXN200001</t>
  </si>
  <si>
    <t>2026-01-11 12:00:00</t>
  </si>
  <si>
    <t>TXN200002</t>
  </si>
  <si>
    <t>2026-01-21 14:00:00</t>
  </si>
  <si>
    <t>TXN200003</t>
  </si>
  <si>
    <t>2026-01-21 19:00:00</t>
  </si>
  <si>
    <t>TXN200004</t>
  </si>
  <si>
    <t>2026-01-16 12:00:00</t>
  </si>
  <si>
    <t>TXN200005</t>
  </si>
  <si>
    <t>2026-01-29 07:00:00</t>
  </si>
  <si>
    <t>TXN200006</t>
  </si>
  <si>
    <t>2026-01-23 11:00:00</t>
  </si>
  <si>
    <t>TXN200007</t>
  </si>
  <si>
    <t>2026-01-28 05:00:00</t>
  </si>
  <si>
    <t>TXN200008</t>
  </si>
  <si>
    <t>2026-01-25 22:00:00</t>
  </si>
  <si>
    <t>TXN200009</t>
  </si>
  <si>
    <t>2026-01-13 13:00:00</t>
  </si>
  <si>
    <t>TXN200010</t>
  </si>
  <si>
    <t>2026-01-20 07:00:00</t>
  </si>
  <si>
    <t>TXN200011</t>
  </si>
  <si>
    <t>2026-01-23 02:00:00</t>
  </si>
  <si>
    <t>TXN200012</t>
  </si>
  <si>
    <t>2026-01-23 17:00:00</t>
  </si>
  <si>
    <t>TXN200013</t>
  </si>
  <si>
    <t>2026-01-22 22:00:00</t>
  </si>
  <si>
    <t>TXN200014</t>
  </si>
  <si>
    <t>2026-01-18 21:00:00</t>
  </si>
  <si>
    <t>TXN300000</t>
  </si>
  <si>
    <t>2026-01-02 18:00:00</t>
  </si>
  <si>
    <t>TXN300001</t>
  </si>
  <si>
    <t>2026-01-02 18:01:00</t>
  </si>
  <si>
    <t>TXN300002</t>
  </si>
  <si>
    <t>2026-01-02 18:02:00</t>
  </si>
  <si>
    <t>TXN300003</t>
  </si>
  <si>
    <t>2026-01-02 18:03:00</t>
  </si>
  <si>
    <t>TXN300004</t>
  </si>
  <si>
    <t>2026-01-12 12:00:00</t>
  </si>
  <si>
    <t>TXN300005</t>
  </si>
  <si>
    <t>2026-01-12 12:01:00</t>
  </si>
  <si>
    <t>TXN300006</t>
  </si>
  <si>
    <t>2026-01-12 12:02:00</t>
  </si>
  <si>
    <t>TXN300007</t>
  </si>
  <si>
    <t>2026-01-12 12:03:00</t>
  </si>
  <si>
    <t>TXN300008</t>
  </si>
  <si>
    <t>2026-01-12 09:00:00</t>
  </si>
  <si>
    <t>TXN300009</t>
  </si>
  <si>
    <t>2026-01-12 09:01:00</t>
  </si>
  <si>
    <t>TXN300010</t>
  </si>
  <si>
    <t>2026-01-12 09:02:00</t>
  </si>
  <si>
    <t>TXN300011</t>
  </si>
  <si>
    <t>2026-01-12 09:03:00</t>
  </si>
  <si>
    <t>TXN300012</t>
  </si>
  <si>
    <t>2026-01-02 22:00:00</t>
  </si>
  <si>
    <t>TXN300013</t>
  </si>
  <si>
    <t>2026-01-02 22:01:00</t>
  </si>
  <si>
    <t>TXN300014</t>
  </si>
  <si>
    <t>2026-01-02 22:02:00</t>
  </si>
  <si>
    <t>TXN300015</t>
  </si>
  <si>
    <t>2026-01-02 22:03:00</t>
  </si>
  <si>
    <t>TXN300016</t>
  </si>
  <si>
    <t>2026-01-14 14:00:00</t>
  </si>
  <si>
    <t>TXN300017</t>
  </si>
  <si>
    <t>2026-01-14 14:01:00</t>
  </si>
  <si>
    <t>TXN300018</t>
  </si>
  <si>
    <t>2026-01-14 14:02:00</t>
  </si>
  <si>
    <t>TXN300019</t>
  </si>
  <si>
    <t>2026-01-14 14:03:00</t>
  </si>
  <si>
    <t>TXN300020</t>
  </si>
  <si>
    <t>2026-01-01 22:00:00</t>
  </si>
  <si>
    <t>TXN300021</t>
  </si>
  <si>
    <t>2026-01-01 22:01:00</t>
  </si>
  <si>
    <t>TXN300022</t>
  </si>
  <si>
    <t>2026-01-01 22:02:00</t>
  </si>
  <si>
    <t>TXN300023</t>
  </si>
  <si>
    <t>2026-01-01 22:03:00</t>
  </si>
  <si>
    <t>TXN300024</t>
  </si>
  <si>
    <t>2026-01-09 21:00:00</t>
  </si>
  <si>
    <t>TXN300025</t>
  </si>
  <si>
    <t>2026-01-09 21:01:00</t>
  </si>
  <si>
    <t>TXN300026</t>
  </si>
  <si>
    <t>2026-01-09 21:02:00</t>
  </si>
  <si>
    <t>TXN300027</t>
  </si>
  <si>
    <t>2026-01-09 21:03:00</t>
  </si>
  <si>
    <t>TXN300028</t>
  </si>
  <si>
    <t>2026-01-23 09:00:00</t>
  </si>
  <si>
    <t>TXN300029</t>
  </si>
  <si>
    <t>2026-01-23 09:01:00</t>
  </si>
  <si>
    <t>TXN300030</t>
  </si>
  <si>
    <t>2026-01-23 09:02:00</t>
  </si>
  <si>
    <t>TXN300031</t>
  </si>
  <si>
    <t>2026-01-23 09:03:00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</si>
</sst>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C1" sqref="C1"/>
    </sheetView>
  </sheetViews>
  <sheetFormatPr defaultRowHeight="14.5" x14ac:dyDescent="0.35"/>
  <cols>
    <col min="1" max="1" width="13" customWidth="1"/>
    <col min="2" max="2" width="15.26953125" customWidth="1"/>
    <col min="3" max="3" width="13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8</v>
      </c>
      <c r="D4" t="s">
        <v>11</v>
      </c>
    </row>
    <row r="5" spans="1:4" x14ac:dyDescent="0.35">
      <c r="A5">
        <v>4</v>
      </c>
      <c r="B5" t="s">
        <v>12</v>
      </c>
      <c r="C5" t="s">
        <v>5</v>
      </c>
      <c r="D5" t="s">
        <v>11</v>
      </c>
    </row>
    <row r="6" spans="1:4" x14ac:dyDescent="0.35">
      <c r="A6">
        <v>5</v>
      </c>
      <c r="B6" t="s">
        <v>13</v>
      </c>
      <c r="C6" t="s">
        <v>14</v>
      </c>
      <c r="D6" t="s">
        <v>6</v>
      </c>
    </row>
    <row r="7" spans="1:4" x14ac:dyDescent="0.35">
      <c r="A7">
        <v>6</v>
      </c>
      <c r="B7" t="s">
        <v>15</v>
      </c>
      <c r="C7" t="s">
        <v>16</v>
      </c>
      <c r="D7" t="s">
        <v>6</v>
      </c>
    </row>
    <row r="8" spans="1:4" x14ac:dyDescent="0.35">
      <c r="A8">
        <v>7</v>
      </c>
      <c r="B8" t="s">
        <v>17</v>
      </c>
      <c r="C8" t="s">
        <v>16</v>
      </c>
      <c r="D8" t="s">
        <v>11</v>
      </c>
    </row>
    <row r="9" spans="1:4" x14ac:dyDescent="0.35">
      <c r="A9">
        <v>8</v>
      </c>
      <c r="B9" t="s">
        <v>18</v>
      </c>
      <c r="C9" t="s">
        <v>16</v>
      </c>
      <c r="D9" t="s">
        <v>19</v>
      </c>
    </row>
    <row r="10" spans="1:4" x14ac:dyDescent="0.35">
      <c r="A10">
        <v>9</v>
      </c>
      <c r="B10" t="s">
        <v>20</v>
      </c>
      <c r="C10" t="s">
        <v>5</v>
      </c>
      <c r="D10" t="s">
        <v>19</v>
      </c>
    </row>
    <row r="11" spans="1:4" x14ac:dyDescent="0.35">
      <c r="A11">
        <v>10</v>
      </c>
      <c r="B11" t="s">
        <v>21</v>
      </c>
      <c r="C11" t="s">
        <v>8</v>
      </c>
      <c r="D11" t="s">
        <v>9</v>
      </c>
    </row>
    <row r="12" spans="1:4" x14ac:dyDescent="0.35">
      <c r="A12">
        <v>11</v>
      </c>
      <c r="B12" t="s">
        <v>22</v>
      </c>
      <c r="C12" t="s">
        <v>5</v>
      </c>
      <c r="D12" t="s">
        <v>19</v>
      </c>
    </row>
    <row r="13" spans="1:4" x14ac:dyDescent="0.35">
      <c r="A13">
        <v>12</v>
      </c>
      <c r="B13" t="s">
        <v>23</v>
      </c>
      <c r="C13" t="s">
        <v>5</v>
      </c>
      <c r="D13" t="s">
        <v>11</v>
      </c>
    </row>
    <row r="14" spans="1:4" x14ac:dyDescent="0.35">
      <c r="A14">
        <v>13</v>
      </c>
      <c r="B14" t="s">
        <v>24</v>
      </c>
      <c r="C14" t="s">
        <v>25</v>
      </c>
      <c r="D14" t="s">
        <v>11</v>
      </c>
    </row>
    <row r="15" spans="1:4" x14ac:dyDescent="0.35">
      <c r="A15">
        <v>14</v>
      </c>
      <c r="B15" t="s">
        <v>26</v>
      </c>
      <c r="C15" t="s">
        <v>8</v>
      </c>
      <c r="D15" t="s">
        <v>11</v>
      </c>
    </row>
    <row r="16" spans="1:4" x14ac:dyDescent="0.35">
      <c r="A16">
        <v>15</v>
      </c>
      <c r="B16" t="s">
        <v>27</v>
      </c>
      <c r="C16" t="s">
        <v>25</v>
      </c>
      <c r="D16" t="s">
        <v>19</v>
      </c>
    </row>
    <row r="17" spans="1:4" x14ac:dyDescent="0.35">
      <c r="A17">
        <v>16</v>
      </c>
      <c r="B17" t="s">
        <v>28</v>
      </c>
      <c r="C17" t="s">
        <v>29</v>
      </c>
      <c r="D17" t="s">
        <v>9</v>
      </c>
    </row>
    <row r="18" spans="1:4" x14ac:dyDescent="0.35">
      <c r="A18">
        <v>17</v>
      </c>
      <c r="B18" t="s">
        <v>30</v>
      </c>
      <c r="C18" t="s">
        <v>8</v>
      </c>
      <c r="D18" t="s">
        <v>19</v>
      </c>
    </row>
    <row r="19" spans="1:4" x14ac:dyDescent="0.35">
      <c r="A19">
        <v>18</v>
      </c>
      <c r="B19" t="s">
        <v>31</v>
      </c>
      <c r="C19" t="s">
        <v>8</v>
      </c>
      <c r="D19" t="s">
        <v>9</v>
      </c>
    </row>
    <row r="20" spans="1:4" x14ac:dyDescent="0.35">
      <c r="A20">
        <v>19</v>
      </c>
      <c r="B20" t="s">
        <v>32</v>
      </c>
      <c r="C20" t="s">
        <v>8</v>
      </c>
      <c r="D20" t="s">
        <v>19</v>
      </c>
    </row>
    <row r="21" spans="1:4" x14ac:dyDescent="0.35">
      <c r="A21">
        <v>20</v>
      </c>
      <c r="B21" t="s">
        <v>33</v>
      </c>
      <c r="C21" t="s">
        <v>16</v>
      </c>
      <c r="D21" t="s">
        <v>11</v>
      </c>
    </row>
    <row r="22" spans="1:4" x14ac:dyDescent="0.35">
      <c r="A22">
        <v>21</v>
      </c>
      <c r="B22" t="s">
        <v>34</v>
      </c>
      <c r="C22" t="s">
        <v>16</v>
      </c>
      <c r="D22" t="s">
        <v>11</v>
      </c>
    </row>
    <row r="23" spans="1:4" x14ac:dyDescent="0.35">
      <c r="A23">
        <v>22</v>
      </c>
      <c r="B23" t="s">
        <v>35</v>
      </c>
      <c r="C23" t="s">
        <v>25</v>
      </c>
      <c r="D23" t="s">
        <v>6</v>
      </c>
    </row>
    <row r="24" spans="1:4" x14ac:dyDescent="0.35">
      <c r="A24">
        <v>23</v>
      </c>
      <c r="B24" t="s">
        <v>36</v>
      </c>
      <c r="C24" t="s">
        <v>25</v>
      </c>
      <c r="D24" t="s">
        <v>19</v>
      </c>
    </row>
    <row r="25" spans="1:4" x14ac:dyDescent="0.35">
      <c r="A25">
        <v>24</v>
      </c>
      <c r="B25" t="s">
        <v>37</v>
      </c>
      <c r="C25" t="s">
        <v>8</v>
      </c>
      <c r="D25" t="s">
        <v>19</v>
      </c>
    </row>
    <row r="26" spans="1:4" x14ac:dyDescent="0.35">
      <c r="A26">
        <v>25</v>
      </c>
      <c r="B26" t="s">
        <v>38</v>
      </c>
      <c r="C26" t="s">
        <v>25</v>
      </c>
      <c r="D26" t="s">
        <v>6</v>
      </c>
    </row>
    <row r="27" spans="1:4" x14ac:dyDescent="0.35">
      <c r="A27">
        <v>26</v>
      </c>
      <c r="B27" t="s">
        <v>39</v>
      </c>
      <c r="C27" t="s">
        <v>16</v>
      </c>
      <c r="D27" t="s">
        <v>11</v>
      </c>
    </row>
    <row r="28" spans="1:4" x14ac:dyDescent="0.35">
      <c r="A28">
        <v>27</v>
      </c>
      <c r="B28" t="s">
        <v>40</v>
      </c>
      <c r="C28" t="s">
        <v>5</v>
      </c>
      <c r="D28" t="s">
        <v>19</v>
      </c>
    </row>
    <row r="29" spans="1:4" x14ac:dyDescent="0.35">
      <c r="A29">
        <v>28</v>
      </c>
      <c r="B29" t="s">
        <v>41</v>
      </c>
      <c r="C29" t="s">
        <v>5</v>
      </c>
      <c r="D29" t="s">
        <v>6</v>
      </c>
    </row>
    <row r="30" spans="1:4" x14ac:dyDescent="0.35">
      <c r="A30">
        <v>29</v>
      </c>
      <c r="B30" t="s">
        <v>42</v>
      </c>
      <c r="C30" t="s">
        <v>5</v>
      </c>
      <c r="D30" t="s">
        <v>19</v>
      </c>
    </row>
    <row r="31" spans="1:4" x14ac:dyDescent="0.35">
      <c r="A31">
        <v>30</v>
      </c>
      <c r="B31" t="s">
        <v>43</v>
      </c>
      <c r="C31" t="s">
        <v>25</v>
      </c>
      <c r="D31" t="s">
        <v>9</v>
      </c>
    </row>
    <row r="32" spans="1:4" x14ac:dyDescent="0.35">
      <c r="A32">
        <v>31</v>
      </c>
      <c r="B32" t="s">
        <v>44</v>
      </c>
      <c r="C32" t="s">
        <v>29</v>
      </c>
      <c r="D32" t="s">
        <v>11</v>
      </c>
    </row>
    <row r="33" spans="1:4" x14ac:dyDescent="0.35">
      <c r="A33">
        <v>32</v>
      </c>
      <c r="B33" t="s">
        <v>45</v>
      </c>
      <c r="C33" t="s">
        <v>16</v>
      </c>
      <c r="D33" t="s">
        <v>9</v>
      </c>
    </row>
    <row r="34" spans="1:4" x14ac:dyDescent="0.35">
      <c r="A34">
        <v>33</v>
      </c>
      <c r="B34" t="s">
        <v>46</v>
      </c>
      <c r="C34" t="s">
        <v>29</v>
      </c>
      <c r="D34" t="s">
        <v>11</v>
      </c>
    </row>
    <row r="35" spans="1:4" x14ac:dyDescent="0.35">
      <c r="A35">
        <v>34</v>
      </c>
      <c r="B35" t="s">
        <v>47</v>
      </c>
      <c r="C35" t="s">
        <v>25</v>
      </c>
      <c r="D35" t="s">
        <v>6</v>
      </c>
    </row>
    <row r="36" spans="1:4" x14ac:dyDescent="0.35">
      <c r="A36">
        <v>35</v>
      </c>
      <c r="B36" t="s">
        <v>48</v>
      </c>
      <c r="C36" t="s">
        <v>14</v>
      </c>
      <c r="D36" t="s">
        <v>11</v>
      </c>
    </row>
    <row r="37" spans="1:4" x14ac:dyDescent="0.35">
      <c r="A37">
        <v>36</v>
      </c>
      <c r="B37" t="s">
        <v>49</v>
      </c>
      <c r="C37" t="s">
        <v>50</v>
      </c>
      <c r="D37" t="s">
        <v>11</v>
      </c>
    </row>
    <row r="38" spans="1:4" x14ac:dyDescent="0.35">
      <c r="A38">
        <v>37</v>
      </c>
      <c r="B38" t="s">
        <v>51</v>
      </c>
      <c r="C38" t="s">
        <v>50</v>
      </c>
      <c r="D38" t="s">
        <v>6</v>
      </c>
    </row>
    <row r="39" spans="1:4" x14ac:dyDescent="0.35">
      <c r="A39">
        <v>38</v>
      </c>
      <c r="B39" t="s">
        <v>52</v>
      </c>
      <c r="C39" t="s">
        <v>8</v>
      </c>
      <c r="D39" t="s">
        <v>11</v>
      </c>
    </row>
    <row r="40" spans="1:4" x14ac:dyDescent="0.35">
      <c r="A40">
        <v>39</v>
      </c>
      <c r="B40" t="s">
        <v>53</v>
      </c>
      <c r="C40" t="s">
        <v>50</v>
      </c>
      <c r="D40" t="s">
        <v>19</v>
      </c>
    </row>
    <row r="41" spans="1:4" x14ac:dyDescent="0.35">
      <c r="A41">
        <v>40</v>
      </c>
      <c r="B41" t="s">
        <v>54</v>
      </c>
      <c r="C41" t="s">
        <v>50</v>
      </c>
      <c r="D4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8"/>
  <sheetViews>
    <sheetView topLeftCell="A172" workbookViewId="0"/>
  </sheetViews>
  <sheetFormatPr defaultRowHeight="14.5" x14ac:dyDescent="0.35"/>
  <cols>
    <col min="1" max="1" width="14.36328125" customWidth="1"/>
    <col min="3" max="3" width="11.7265625" customWidth="1"/>
    <col min="4" max="4" width="19.90625" customWidth="1"/>
    <col min="5" max="5" width="11.54296875" customWidth="1"/>
    <col min="6" max="6" width="16.26953125" customWidth="1"/>
    <col min="8" max="8" width="9.90625" customWidth="1"/>
    <col min="9" max="9" width="17.26953125" customWidth="1"/>
    <col min="10" max="10" width="16.26953125" customWidth="1"/>
  </cols>
  <sheetData>
    <row r="1" spans="1:11" x14ac:dyDescent="0.35">
      <c r="A1" s="1" t="s">
        <v>55</v>
      </c>
      <c r="B1" s="1" t="s">
        <v>56</v>
      </c>
      <c r="C1" s="1" t="s">
        <v>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1</v>
      </c>
      <c r="J1" s="1" t="s">
        <v>2</v>
      </c>
      <c r="K1" s="1" t="s">
        <v>3</v>
      </c>
    </row>
    <row r="2" spans="1:11" x14ac:dyDescent="0.35">
      <c r="A2" t="s">
        <v>62</v>
      </c>
      <c r="B2">
        <v>350</v>
      </c>
      <c r="C2">
        <v>16</v>
      </c>
      <c r="D2" t="s">
        <v>63</v>
      </c>
      <c r="E2">
        <v>2999</v>
      </c>
      <c r="F2" t="s">
        <v>64</v>
      </c>
      <c r="G2" t="s">
        <v>65</v>
      </c>
      <c r="H2">
        <v>85</v>
      </c>
      <c r="I2" t="str">
        <f>IFERROR(VLOOKUP(C2,Merchants!$A:$D,2,FALSE),"Merchant not found")</f>
        <v>Merchant_016</v>
      </c>
      <c r="J2" t="str">
        <f>IFERROR(VLOOKUP(C2,Merchants!$A:$D,3,FALSE),"Merchant not found")</f>
        <v>bill_payment</v>
      </c>
      <c r="K2" t="str">
        <f>IFERROR(VLOOKUP(C2,Merchants!$A:$D,4,FALSE),"Merchant not found")</f>
        <v>West</v>
      </c>
    </row>
    <row r="3" spans="1:11" x14ac:dyDescent="0.35">
      <c r="A3" t="s">
        <v>66</v>
      </c>
      <c r="B3">
        <v>287</v>
      </c>
      <c r="C3">
        <v>27</v>
      </c>
      <c r="D3" t="s">
        <v>67</v>
      </c>
      <c r="E3">
        <v>49</v>
      </c>
      <c r="F3" t="s">
        <v>68</v>
      </c>
      <c r="G3" t="s">
        <v>65</v>
      </c>
      <c r="H3">
        <v>79</v>
      </c>
      <c r="I3" t="str">
        <f>IFERROR(VLOOKUP(C3,Merchants!$A:$D,2,FALSE),"Merchant not found")</f>
        <v>Merchant_027</v>
      </c>
      <c r="J3" t="str">
        <f>IFERROR(VLOOKUP(C3,Merchants!$A:$D,3,FALSE),"Merchant not found")</f>
        <v>ecommerce</v>
      </c>
      <c r="K3" t="str">
        <f>IFERROR(VLOOKUP(C3,Merchants!$A:$D,4,FALSE),"Merchant not found")</f>
        <v>North</v>
      </c>
    </row>
    <row r="4" spans="1:11" x14ac:dyDescent="0.35">
      <c r="A4" t="s">
        <v>69</v>
      </c>
      <c r="B4">
        <v>122</v>
      </c>
      <c r="C4">
        <v>11</v>
      </c>
      <c r="D4" t="s">
        <v>70</v>
      </c>
      <c r="E4">
        <v>1499</v>
      </c>
      <c r="F4" t="s">
        <v>64</v>
      </c>
      <c r="G4" t="s">
        <v>65</v>
      </c>
      <c r="H4">
        <v>22</v>
      </c>
      <c r="I4" t="str">
        <f>IFERROR(VLOOKUP(C4,Merchants!$A:$D,2,FALSE),"Merchant not found")</f>
        <v>Merchant_011</v>
      </c>
      <c r="J4" t="str">
        <f>IFERROR(VLOOKUP(C4,Merchants!$A:$D,3,FALSE),"Merchant not found")</f>
        <v>ecommerce</v>
      </c>
      <c r="K4" t="str">
        <f>IFERROR(VLOOKUP(C4,Merchants!$A:$D,4,FALSE),"Merchant not found")</f>
        <v>North</v>
      </c>
    </row>
    <row r="5" spans="1:11" x14ac:dyDescent="0.35">
      <c r="A5" t="s">
        <v>71</v>
      </c>
      <c r="B5">
        <v>92</v>
      </c>
      <c r="C5">
        <v>22</v>
      </c>
      <c r="D5" t="s">
        <v>72</v>
      </c>
      <c r="E5">
        <v>49</v>
      </c>
      <c r="F5" t="s">
        <v>73</v>
      </c>
      <c r="G5" t="s">
        <v>65</v>
      </c>
      <c r="H5">
        <v>100</v>
      </c>
      <c r="I5" t="str">
        <f>IFERROR(VLOOKUP(C5,Merchants!$A:$D,2,FALSE),"Merchant not found")</f>
        <v>Merchant_022</v>
      </c>
      <c r="J5" t="str">
        <f>IFERROR(VLOOKUP(C5,Merchants!$A:$D,3,FALSE),"Merchant not found")</f>
        <v>travel</v>
      </c>
      <c r="K5" t="str">
        <f>IFERROR(VLOOKUP(C5,Merchants!$A:$D,4,FALSE),"Merchant not found")</f>
        <v>South</v>
      </c>
    </row>
    <row r="6" spans="1:11" x14ac:dyDescent="0.35">
      <c r="A6" t="s">
        <v>74</v>
      </c>
      <c r="B6">
        <v>343</v>
      </c>
      <c r="C6">
        <v>16</v>
      </c>
      <c r="D6" t="s">
        <v>75</v>
      </c>
      <c r="E6">
        <v>99</v>
      </c>
      <c r="F6" t="s">
        <v>68</v>
      </c>
      <c r="G6" t="s">
        <v>65</v>
      </c>
      <c r="H6">
        <v>34</v>
      </c>
      <c r="I6" t="str">
        <f>IFERROR(VLOOKUP(C6,Merchants!$A:$D,2,FALSE),"Merchant not found")</f>
        <v>Merchant_016</v>
      </c>
      <c r="J6" t="str">
        <f>IFERROR(VLOOKUP(C6,Merchants!$A:$D,3,FALSE),"Merchant not found")</f>
        <v>bill_payment</v>
      </c>
      <c r="K6" t="str">
        <f>IFERROR(VLOOKUP(C6,Merchants!$A:$D,4,FALSE),"Merchant not found")</f>
        <v>West</v>
      </c>
    </row>
    <row r="7" spans="1:11" x14ac:dyDescent="0.35">
      <c r="A7" t="s">
        <v>76</v>
      </c>
      <c r="B7">
        <v>196</v>
      </c>
      <c r="C7">
        <v>3</v>
      </c>
      <c r="D7" t="s">
        <v>77</v>
      </c>
      <c r="E7">
        <v>99</v>
      </c>
      <c r="F7" t="s">
        <v>68</v>
      </c>
      <c r="G7" t="s">
        <v>65</v>
      </c>
      <c r="H7">
        <v>60</v>
      </c>
      <c r="I7" t="str">
        <f>IFERROR(VLOOKUP(C7,Merchants!$A:$D,2,FALSE),"Merchant not found")</f>
        <v>Merchant_003</v>
      </c>
      <c r="J7" t="str">
        <f>IFERROR(VLOOKUP(C7,Merchants!$A:$D,3,FALSE),"Merchant not found")</f>
        <v>grocery</v>
      </c>
      <c r="K7" t="str">
        <f>IFERROR(VLOOKUP(C7,Merchants!$A:$D,4,FALSE),"Merchant not found")</f>
        <v>East</v>
      </c>
    </row>
    <row r="8" spans="1:11" x14ac:dyDescent="0.35">
      <c r="A8" t="s">
        <v>78</v>
      </c>
      <c r="B8">
        <v>236</v>
      </c>
      <c r="C8">
        <v>23</v>
      </c>
      <c r="D8" t="s">
        <v>79</v>
      </c>
      <c r="E8">
        <v>99</v>
      </c>
      <c r="F8" t="s">
        <v>64</v>
      </c>
      <c r="G8" t="s">
        <v>65</v>
      </c>
      <c r="H8">
        <v>39</v>
      </c>
      <c r="I8" t="str">
        <f>IFERROR(VLOOKUP(C8,Merchants!$A:$D,2,FALSE),"Merchant not found")</f>
        <v>Merchant_023</v>
      </c>
      <c r="J8" t="str">
        <f>IFERROR(VLOOKUP(C8,Merchants!$A:$D,3,FALSE),"Merchant not found")</f>
        <v>travel</v>
      </c>
      <c r="K8" t="str">
        <f>IFERROR(VLOOKUP(C8,Merchants!$A:$D,4,FALSE),"Merchant not found")</f>
        <v>North</v>
      </c>
    </row>
    <row r="9" spans="1:11" x14ac:dyDescent="0.35">
      <c r="A9" t="s">
        <v>80</v>
      </c>
      <c r="B9">
        <v>13</v>
      </c>
      <c r="C9">
        <v>13</v>
      </c>
      <c r="D9" t="s">
        <v>81</v>
      </c>
      <c r="E9">
        <v>99</v>
      </c>
      <c r="F9" t="s">
        <v>68</v>
      </c>
      <c r="G9" t="s">
        <v>65</v>
      </c>
      <c r="H9">
        <v>51</v>
      </c>
      <c r="I9" t="str">
        <f>IFERROR(VLOOKUP(C9,Merchants!$A:$D,2,FALSE),"Merchant not found")</f>
        <v>Merchant_013</v>
      </c>
      <c r="J9" t="str">
        <f>IFERROR(VLOOKUP(C9,Merchants!$A:$D,3,FALSE),"Merchant not found")</f>
        <v>travel</v>
      </c>
      <c r="K9" t="str">
        <f>IFERROR(VLOOKUP(C9,Merchants!$A:$D,4,FALSE),"Merchant not found")</f>
        <v>East</v>
      </c>
    </row>
    <row r="10" spans="1:11" x14ac:dyDescent="0.35">
      <c r="A10" t="s">
        <v>82</v>
      </c>
      <c r="B10">
        <v>36</v>
      </c>
      <c r="C10">
        <v>18</v>
      </c>
      <c r="D10" t="s">
        <v>83</v>
      </c>
      <c r="E10">
        <v>799</v>
      </c>
      <c r="F10" t="s">
        <v>68</v>
      </c>
      <c r="G10" t="s">
        <v>65</v>
      </c>
      <c r="H10">
        <v>44</v>
      </c>
      <c r="I10" t="str">
        <f>IFERROR(VLOOKUP(C10,Merchants!$A:$D,2,FALSE),"Merchant not found")</f>
        <v>Merchant_018</v>
      </c>
      <c r="J10" t="str">
        <f>IFERROR(VLOOKUP(C10,Merchants!$A:$D,3,FALSE),"Merchant not found")</f>
        <v>grocery</v>
      </c>
      <c r="K10" t="str">
        <f>IFERROR(VLOOKUP(C10,Merchants!$A:$D,4,FALSE),"Merchant not found")</f>
        <v>West</v>
      </c>
    </row>
    <row r="11" spans="1:11" x14ac:dyDescent="0.35">
      <c r="A11" t="s">
        <v>84</v>
      </c>
      <c r="B11">
        <v>348</v>
      </c>
      <c r="C11">
        <v>35</v>
      </c>
      <c r="D11" t="s">
        <v>85</v>
      </c>
      <c r="E11">
        <v>299</v>
      </c>
      <c r="F11" t="s">
        <v>68</v>
      </c>
      <c r="G11" t="s">
        <v>65</v>
      </c>
      <c r="H11">
        <v>42</v>
      </c>
      <c r="I11" t="str">
        <f>IFERROR(VLOOKUP(C11,Merchants!$A:$D,2,FALSE),"Merchant not found")</f>
        <v>Merchant_035</v>
      </c>
      <c r="J11" t="str">
        <f>IFERROR(VLOOKUP(C11,Merchants!$A:$D,3,FALSE),"Merchant not found")</f>
        <v>recharge</v>
      </c>
      <c r="K11" t="str">
        <f>IFERROR(VLOOKUP(C11,Merchants!$A:$D,4,FALSE),"Merchant not found")</f>
        <v>East</v>
      </c>
    </row>
    <row r="12" spans="1:11" x14ac:dyDescent="0.35">
      <c r="A12" t="s">
        <v>86</v>
      </c>
      <c r="B12">
        <v>134</v>
      </c>
      <c r="C12">
        <v>12</v>
      </c>
      <c r="D12" t="s">
        <v>87</v>
      </c>
      <c r="E12">
        <v>49</v>
      </c>
      <c r="F12" t="s">
        <v>68</v>
      </c>
      <c r="G12" t="s">
        <v>65</v>
      </c>
      <c r="H12">
        <v>74</v>
      </c>
      <c r="I12" t="str">
        <f>IFERROR(VLOOKUP(C12,Merchants!$A:$D,2,FALSE),"Merchant not found")</f>
        <v>Merchant_012</v>
      </c>
      <c r="J12" t="str">
        <f>IFERROR(VLOOKUP(C12,Merchants!$A:$D,3,FALSE),"Merchant not found")</f>
        <v>ecommerce</v>
      </c>
      <c r="K12" t="str">
        <f>IFERROR(VLOOKUP(C12,Merchants!$A:$D,4,FALSE),"Merchant not found")</f>
        <v>East</v>
      </c>
    </row>
    <row r="13" spans="1:11" x14ac:dyDescent="0.35">
      <c r="A13" t="s">
        <v>88</v>
      </c>
      <c r="B13">
        <v>306</v>
      </c>
      <c r="C13">
        <v>28</v>
      </c>
      <c r="D13" t="s">
        <v>89</v>
      </c>
      <c r="E13">
        <v>2999</v>
      </c>
      <c r="F13" t="s">
        <v>90</v>
      </c>
      <c r="G13" t="s">
        <v>91</v>
      </c>
      <c r="H13">
        <v>44</v>
      </c>
      <c r="I13" t="str">
        <f>IFERROR(VLOOKUP(C13,Merchants!$A:$D,2,FALSE),"Merchant not found")</f>
        <v>Merchant_028</v>
      </c>
      <c r="J13" t="str">
        <f>IFERROR(VLOOKUP(C13,Merchants!$A:$D,3,FALSE),"Merchant not found")</f>
        <v>ecommerce</v>
      </c>
      <c r="K13" t="str">
        <f>IFERROR(VLOOKUP(C13,Merchants!$A:$D,4,FALSE),"Merchant not found")</f>
        <v>South</v>
      </c>
    </row>
    <row r="14" spans="1:11" x14ac:dyDescent="0.35">
      <c r="A14" t="s">
        <v>92</v>
      </c>
      <c r="B14">
        <v>311</v>
      </c>
      <c r="C14">
        <v>33</v>
      </c>
      <c r="D14" t="s">
        <v>93</v>
      </c>
      <c r="E14">
        <v>49</v>
      </c>
      <c r="F14" t="s">
        <v>64</v>
      </c>
      <c r="G14" t="s">
        <v>65</v>
      </c>
      <c r="H14">
        <v>14</v>
      </c>
      <c r="I14" t="str">
        <f>IFERROR(VLOOKUP(C14,Merchants!$A:$D,2,FALSE),"Merchant not found")</f>
        <v>Merchant_033</v>
      </c>
      <c r="J14" t="str">
        <f>IFERROR(VLOOKUP(C14,Merchants!$A:$D,3,FALSE),"Merchant not found")</f>
        <v>bill_payment</v>
      </c>
      <c r="K14" t="str">
        <f>IFERROR(VLOOKUP(C14,Merchants!$A:$D,4,FALSE),"Merchant not found")</f>
        <v>East</v>
      </c>
    </row>
    <row r="15" spans="1:11" x14ac:dyDescent="0.35">
      <c r="A15" t="s">
        <v>94</v>
      </c>
      <c r="B15">
        <v>131</v>
      </c>
      <c r="C15">
        <v>3</v>
      </c>
      <c r="D15" t="s">
        <v>95</v>
      </c>
      <c r="E15">
        <v>49</v>
      </c>
      <c r="F15" t="s">
        <v>68</v>
      </c>
      <c r="G15" t="s">
        <v>65</v>
      </c>
      <c r="H15">
        <v>90</v>
      </c>
      <c r="I15" t="str">
        <f>IFERROR(VLOOKUP(C15,Merchants!$A:$D,2,FALSE),"Merchant not found")</f>
        <v>Merchant_003</v>
      </c>
      <c r="J15" t="str">
        <f>IFERROR(VLOOKUP(C15,Merchants!$A:$D,3,FALSE),"Merchant not found")</f>
        <v>grocery</v>
      </c>
      <c r="K15" t="str">
        <f>IFERROR(VLOOKUP(C15,Merchants!$A:$D,4,FALSE),"Merchant not found")</f>
        <v>East</v>
      </c>
    </row>
    <row r="16" spans="1:11" x14ac:dyDescent="0.35">
      <c r="A16" t="s">
        <v>96</v>
      </c>
      <c r="B16">
        <v>276</v>
      </c>
      <c r="C16">
        <v>13</v>
      </c>
      <c r="D16" t="s">
        <v>97</v>
      </c>
      <c r="E16">
        <v>1499</v>
      </c>
      <c r="F16" t="s">
        <v>68</v>
      </c>
      <c r="G16" t="s">
        <v>65</v>
      </c>
      <c r="H16">
        <v>46</v>
      </c>
      <c r="I16" t="str">
        <f>IFERROR(VLOOKUP(C16,Merchants!$A:$D,2,FALSE),"Merchant not found")</f>
        <v>Merchant_013</v>
      </c>
      <c r="J16" t="str">
        <f>IFERROR(VLOOKUP(C16,Merchants!$A:$D,3,FALSE),"Merchant not found")</f>
        <v>travel</v>
      </c>
      <c r="K16" t="str">
        <f>IFERROR(VLOOKUP(C16,Merchants!$A:$D,4,FALSE),"Merchant not found")</f>
        <v>East</v>
      </c>
    </row>
    <row r="17" spans="1:11" x14ac:dyDescent="0.35">
      <c r="A17" t="s">
        <v>98</v>
      </c>
      <c r="B17">
        <v>170</v>
      </c>
      <c r="C17">
        <v>40</v>
      </c>
      <c r="D17" t="s">
        <v>99</v>
      </c>
      <c r="E17">
        <v>99</v>
      </c>
      <c r="F17" t="s">
        <v>68</v>
      </c>
      <c r="G17" t="s">
        <v>65</v>
      </c>
      <c r="H17">
        <v>40</v>
      </c>
      <c r="I17" t="str">
        <f>IFERROR(VLOOKUP(C17,Merchants!$A:$D,2,FALSE),"Merchant not found")</f>
        <v>Merchant_040</v>
      </c>
      <c r="J17" t="str">
        <f>IFERROR(VLOOKUP(C17,Merchants!$A:$D,3,FALSE),"Merchant not found")</f>
        <v>entertainment</v>
      </c>
      <c r="K17" t="str">
        <f>IFERROR(VLOOKUP(C17,Merchants!$A:$D,4,FALSE),"Merchant not found")</f>
        <v>South</v>
      </c>
    </row>
    <row r="18" spans="1:11" x14ac:dyDescent="0.35">
      <c r="A18" t="s">
        <v>100</v>
      </c>
      <c r="B18">
        <v>154</v>
      </c>
      <c r="C18">
        <v>33</v>
      </c>
      <c r="D18" t="s">
        <v>101</v>
      </c>
      <c r="E18">
        <v>99</v>
      </c>
      <c r="F18" t="s">
        <v>73</v>
      </c>
      <c r="G18" t="s">
        <v>65</v>
      </c>
      <c r="H18">
        <v>39</v>
      </c>
      <c r="I18" t="str">
        <f>IFERROR(VLOOKUP(C18,Merchants!$A:$D,2,FALSE),"Merchant not found")</f>
        <v>Merchant_033</v>
      </c>
      <c r="J18" t="str">
        <f>IFERROR(VLOOKUP(C18,Merchants!$A:$D,3,FALSE),"Merchant not found")</f>
        <v>bill_payment</v>
      </c>
      <c r="K18" t="str">
        <f>IFERROR(VLOOKUP(C18,Merchants!$A:$D,4,FALSE),"Merchant not found")</f>
        <v>East</v>
      </c>
    </row>
    <row r="19" spans="1:11" x14ac:dyDescent="0.35">
      <c r="A19" t="s">
        <v>102</v>
      </c>
      <c r="B19">
        <v>207</v>
      </c>
      <c r="C19">
        <v>19</v>
      </c>
      <c r="D19" t="s">
        <v>103</v>
      </c>
      <c r="E19">
        <v>2999</v>
      </c>
      <c r="F19" t="s">
        <v>90</v>
      </c>
      <c r="G19" t="s">
        <v>65</v>
      </c>
      <c r="H19">
        <v>70</v>
      </c>
      <c r="I19" t="str">
        <f>IFERROR(VLOOKUP(C19,Merchants!$A:$D,2,FALSE),"Merchant not found")</f>
        <v>Merchant_019</v>
      </c>
      <c r="J19" t="str">
        <f>IFERROR(VLOOKUP(C19,Merchants!$A:$D,3,FALSE),"Merchant not found")</f>
        <v>grocery</v>
      </c>
      <c r="K19" t="str">
        <f>IFERROR(VLOOKUP(C19,Merchants!$A:$D,4,FALSE),"Merchant not found")</f>
        <v>North</v>
      </c>
    </row>
    <row r="20" spans="1:11" x14ac:dyDescent="0.35">
      <c r="A20" t="s">
        <v>104</v>
      </c>
      <c r="B20">
        <v>341</v>
      </c>
      <c r="C20">
        <v>25</v>
      </c>
      <c r="D20" t="s">
        <v>105</v>
      </c>
      <c r="E20">
        <v>2999</v>
      </c>
      <c r="F20" t="s">
        <v>68</v>
      </c>
      <c r="G20" t="s">
        <v>65</v>
      </c>
      <c r="H20">
        <v>86</v>
      </c>
      <c r="I20" t="str">
        <f>IFERROR(VLOOKUP(C20,Merchants!$A:$D,2,FALSE),"Merchant not found")</f>
        <v>Merchant_025</v>
      </c>
      <c r="J20" t="str">
        <f>IFERROR(VLOOKUP(C20,Merchants!$A:$D,3,FALSE),"Merchant not found")</f>
        <v>travel</v>
      </c>
      <c r="K20" t="str">
        <f>IFERROR(VLOOKUP(C20,Merchants!$A:$D,4,FALSE),"Merchant not found")</f>
        <v>South</v>
      </c>
    </row>
    <row r="21" spans="1:11" x14ac:dyDescent="0.35">
      <c r="A21" t="s">
        <v>106</v>
      </c>
      <c r="B21">
        <v>292</v>
      </c>
      <c r="C21">
        <v>20</v>
      </c>
      <c r="D21" t="s">
        <v>107</v>
      </c>
      <c r="E21">
        <v>49</v>
      </c>
      <c r="F21" t="s">
        <v>68</v>
      </c>
      <c r="G21" t="s">
        <v>65</v>
      </c>
      <c r="H21">
        <v>51</v>
      </c>
      <c r="I21" t="str">
        <f>IFERROR(VLOOKUP(C21,Merchants!$A:$D,2,FALSE),"Merchant not found")</f>
        <v>Merchant_020</v>
      </c>
      <c r="J21" t="str">
        <f>IFERROR(VLOOKUP(C21,Merchants!$A:$D,3,FALSE),"Merchant not found")</f>
        <v>food_delivery</v>
      </c>
      <c r="K21" t="str">
        <f>IFERROR(VLOOKUP(C21,Merchants!$A:$D,4,FALSE),"Merchant not found")</f>
        <v>East</v>
      </c>
    </row>
    <row r="22" spans="1:11" x14ac:dyDescent="0.35">
      <c r="A22" t="s">
        <v>108</v>
      </c>
      <c r="B22">
        <v>147</v>
      </c>
      <c r="C22">
        <v>14</v>
      </c>
      <c r="D22" t="s">
        <v>109</v>
      </c>
      <c r="E22">
        <v>99</v>
      </c>
      <c r="F22" t="s">
        <v>90</v>
      </c>
      <c r="G22" t="s">
        <v>65</v>
      </c>
      <c r="H22">
        <v>55</v>
      </c>
      <c r="I22" t="str">
        <f>IFERROR(VLOOKUP(C22,Merchants!$A:$D,2,FALSE),"Merchant not found")</f>
        <v>Merchant_014</v>
      </c>
      <c r="J22" t="str">
        <f>IFERROR(VLOOKUP(C22,Merchants!$A:$D,3,FALSE),"Merchant not found")</f>
        <v>grocery</v>
      </c>
      <c r="K22" t="str">
        <f>IFERROR(VLOOKUP(C22,Merchants!$A:$D,4,FALSE),"Merchant not found")</f>
        <v>East</v>
      </c>
    </row>
    <row r="23" spans="1:11" x14ac:dyDescent="0.35">
      <c r="A23" t="s">
        <v>110</v>
      </c>
      <c r="B23">
        <v>336</v>
      </c>
      <c r="C23">
        <v>21</v>
      </c>
      <c r="D23" t="s">
        <v>111</v>
      </c>
      <c r="E23">
        <v>99</v>
      </c>
      <c r="F23" t="s">
        <v>68</v>
      </c>
      <c r="G23" t="s">
        <v>65</v>
      </c>
      <c r="H23">
        <v>59</v>
      </c>
      <c r="I23" t="str">
        <f>IFERROR(VLOOKUP(C23,Merchants!$A:$D,2,FALSE),"Merchant not found")</f>
        <v>Merchant_021</v>
      </c>
      <c r="J23" t="str">
        <f>IFERROR(VLOOKUP(C23,Merchants!$A:$D,3,FALSE),"Merchant not found")</f>
        <v>food_delivery</v>
      </c>
      <c r="K23" t="str">
        <f>IFERROR(VLOOKUP(C23,Merchants!$A:$D,4,FALSE),"Merchant not found")</f>
        <v>East</v>
      </c>
    </row>
    <row r="24" spans="1:11" x14ac:dyDescent="0.35">
      <c r="A24" t="s">
        <v>112</v>
      </c>
      <c r="B24">
        <v>110</v>
      </c>
      <c r="C24">
        <v>33</v>
      </c>
      <c r="D24" t="s">
        <v>113</v>
      </c>
      <c r="E24">
        <v>799</v>
      </c>
      <c r="F24" t="s">
        <v>68</v>
      </c>
      <c r="G24" t="s">
        <v>65</v>
      </c>
      <c r="H24">
        <v>60</v>
      </c>
      <c r="I24" t="str">
        <f>IFERROR(VLOOKUP(C24,Merchants!$A:$D,2,FALSE),"Merchant not found")</f>
        <v>Merchant_033</v>
      </c>
      <c r="J24" t="str">
        <f>IFERROR(VLOOKUP(C24,Merchants!$A:$D,3,FALSE),"Merchant not found")</f>
        <v>bill_payment</v>
      </c>
      <c r="K24" t="str">
        <f>IFERROR(VLOOKUP(C24,Merchants!$A:$D,4,FALSE),"Merchant not found")</f>
        <v>East</v>
      </c>
    </row>
    <row r="25" spans="1:11" x14ac:dyDescent="0.35">
      <c r="A25" t="s">
        <v>114</v>
      </c>
      <c r="B25">
        <v>338</v>
      </c>
      <c r="C25">
        <v>6</v>
      </c>
      <c r="D25" t="s">
        <v>115</v>
      </c>
      <c r="E25">
        <v>799</v>
      </c>
      <c r="F25" t="s">
        <v>68</v>
      </c>
      <c r="G25" t="s">
        <v>116</v>
      </c>
      <c r="H25">
        <v>36</v>
      </c>
      <c r="I25" t="str">
        <f>IFERROR(VLOOKUP(C25,Merchants!$A:$D,2,FALSE),"Merchant not found")</f>
        <v>Merchant_006</v>
      </c>
      <c r="J25" t="str">
        <f>IFERROR(VLOOKUP(C25,Merchants!$A:$D,3,FALSE),"Merchant not found")</f>
        <v>food_delivery</v>
      </c>
      <c r="K25" t="str">
        <f>IFERROR(VLOOKUP(C25,Merchants!$A:$D,4,FALSE),"Merchant not found")</f>
        <v>South</v>
      </c>
    </row>
    <row r="26" spans="1:11" x14ac:dyDescent="0.35">
      <c r="A26" t="s">
        <v>117</v>
      </c>
      <c r="B26">
        <v>318</v>
      </c>
      <c r="C26">
        <v>22</v>
      </c>
      <c r="D26" t="s">
        <v>118</v>
      </c>
      <c r="E26">
        <v>799</v>
      </c>
      <c r="F26" t="s">
        <v>64</v>
      </c>
      <c r="G26" t="s">
        <v>65</v>
      </c>
      <c r="H26">
        <v>11</v>
      </c>
      <c r="I26" t="str">
        <f>IFERROR(VLOOKUP(C26,Merchants!$A:$D,2,FALSE),"Merchant not found")</f>
        <v>Merchant_022</v>
      </c>
      <c r="J26" t="str">
        <f>IFERROR(VLOOKUP(C26,Merchants!$A:$D,3,FALSE),"Merchant not found")</f>
        <v>travel</v>
      </c>
      <c r="K26" t="str">
        <f>IFERROR(VLOOKUP(C26,Merchants!$A:$D,4,FALSE),"Merchant not found")</f>
        <v>South</v>
      </c>
    </row>
    <row r="27" spans="1:11" x14ac:dyDescent="0.35">
      <c r="A27" t="s">
        <v>119</v>
      </c>
      <c r="B27">
        <v>159</v>
      </c>
      <c r="C27">
        <v>15</v>
      </c>
      <c r="D27" t="s">
        <v>120</v>
      </c>
      <c r="E27">
        <v>799</v>
      </c>
      <c r="F27" t="s">
        <v>68</v>
      </c>
      <c r="G27" t="s">
        <v>65</v>
      </c>
      <c r="H27">
        <v>25</v>
      </c>
      <c r="I27" t="str">
        <f>IFERROR(VLOOKUP(C27,Merchants!$A:$D,2,FALSE),"Merchant not found")</f>
        <v>Merchant_015</v>
      </c>
      <c r="J27" t="str">
        <f>IFERROR(VLOOKUP(C27,Merchants!$A:$D,3,FALSE),"Merchant not found")</f>
        <v>travel</v>
      </c>
      <c r="K27" t="str">
        <f>IFERROR(VLOOKUP(C27,Merchants!$A:$D,4,FALSE),"Merchant not found")</f>
        <v>North</v>
      </c>
    </row>
    <row r="28" spans="1:11" x14ac:dyDescent="0.35">
      <c r="A28" t="s">
        <v>121</v>
      </c>
      <c r="B28">
        <v>126</v>
      </c>
      <c r="C28">
        <v>31</v>
      </c>
      <c r="D28" t="s">
        <v>122</v>
      </c>
      <c r="E28">
        <v>49</v>
      </c>
      <c r="F28" t="s">
        <v>90</v>
      </c>
      <c r="G28" t="s">
        <v>65</v>
      </c>
      <c r="H28">
        <v>78</v>
      </c>
      <c r="I28" t="str">
        <f>IFERROR(VLOOKUP(C28,Merchants!$A:$D,2,FALSE),"Merchant not found")</f>
        <v>Merchant_031</v>
      </c>
      <c r="J28" t="str">
        <f>IFERROR(VLOOKUP(C28,Merchants!$A:$D,3,FALSE),"Merchant not found")</f>
        <v>bill_payment</v>
      </c>
      <c r="K28" t="str">
        <f>IFERROR(VLOOKUP(C28,Merchants!$A:$D,4,FALSE),"Merchant not found")</f>
        <v>East</v>
      </c>
    </row>
    <row r="29" spans="1:11" x14ac:dyDescent="0.35">
      <c r="A29" t="s">
        <v>123</v>
      </c>
      <c r="B29">
        <v>213</v>
      </c>
      <c r="C29">
        <v>37</v>
      </c>
      <c r="D29" t="s">
        <v>124</v>
      </c>
      <c r="E29">
        <v>99</v>
      </c>
      <c r="F29" t="s">
        <v>68</v>
      </c>
      <c r="G29" t="s">
        <v>65</v>
      </c>
      <c r="H29">
        <v>24</v>
      </c>
      <c r="I29" t="str">
        <f>IFERROR(VLOOKUP(C29,Merchants!$A:$D,2,FALSE),"Merchant not found")</f>
        <v>Merchant_037</v>
      </c>
      <c r="J29" t="str">
        <f>IFERROR(VLOOKUP(C29,Merchants!$A:$D,3,FALSE),"Merchant not found")</f>
        <v>entertainment</v>
      </c>
      <c r="K29" t="str">
        <f>IFERROR(VLOOKUP(C29,Merchants!$A:$D,4,FALSE),"Merchant not found")</f>
        <v>South</v>
      </c>
    </row>
    <row r="30" spans="1:11" x14ac:dyDescent="0.35">
      <c r="A30" t="s">
        <v>125</v>
      </c>
      <c r="B30">
        <v>254</v>
      </c>
      <c r="C30">
        <v>26</v>
      </c>
      <c r="D30" t="s">
        <v>126</v>
      </c>
      <c r="E30">
        <v>99</v>
      </c>
      <c r="F30" t="s">
        <v>64</v>
      </c>
      <c r="G30" t="s">
        <v>65</v>
      </c>
      <c r="H30">
        <v>31</v>
      </c>
      <c r="I30" t="str">
        <f>IFERROR(VLOOKUP(C30,Merchants!$A:$D,2,FALSE),"Merchant not found")</f>
        <v>Merchant_026</v>
      </c>
      <c r="J30" t="str">
        <f>IFERROR(VLOOKUP(C30,Merchants!$A:$D,3,FALSE),"Merchant not found")</f>
        <v>food_delivery</v>
      </c>
      <c r="K30" t="str">
        <f>IFERROR(VLOOKUP(C30,Merchants!$A:$D,4,FALSE),"Merchant not found")</f>
        <v>East</v>
      </c>
    </row>
    <row r="31" spans="1:11" x14ac:dyDescent="0.35">
      <c r="A31" t="s">
        <v>127</v>
      </c>
      <c r="B31">
        <v>3</v>
      </c>
      <c r="C31">
        <v>7</v>
      </c>
      <c r="D31" t="s">
        <v>128</v>
      </c>
      <c r="E31">
        <v>1499</v>
      </c>
      <c r="F31" t="s">
        <v>68</v>
      </c>
      <c r="G31" t="s">
        <v>65</v>
      </c>
      <c r="H31">
        <v>99</v>
      </c>
      <c r="I31" t="str">
        <f>IFERROR(VLOOKUP(C31,Merchants!$A:$D,2,FALSE),"Merchant not found")</f>
        <v>Merchant_007</v>
      </c>
      <c r="J31" t="str">
        <f>IFERROR(VLOOKUP(C31,Merchants!$A:$D,3,FALSE),"Merchant not found")</f>
        <v>food_delivery</v>
      </c>
      <c r="K31" t="str">
        <f>IFERROR(VLOOKUP(C31,Merchants!$A:$D,4,FALSE),"Merchant not found")</f>
        <v>East</v>
      </c>
    </row>
    <row r="32" spans="1:11" x14ac:dyDescent="0.35">
      <c r="A32" t="s">
        <v>129</v>
      </c>
      <c r="B32">
        <v>266</v>
      </c>
      <c r="C32">
        <v>30</v>
      </c>
      <c r="D32" t="s">
        <v>130</v>
      </c>
      <c r="E32">
        <v>499</v>
      </c>
      <c r="F32" t="s">
        <v>90</v>
      </c>
      <c r="G32" t="s">
        <v>65</v>
      </c>
      <c r="H32">
        <v>6</v>
      </c>
      <c r="I32" t="str">
        <f>IFERROR(VLOOKUP(C32,Merchants!$A:$D,2,FALSE),"Merchant not found")</f>
        <v>Merchant_030</v>
      </c>
      <c r="J32" t="str">
        <f>IFERROR(VLOOKUP(C32,Merchants!$A:$D,3,FALSE),"Merchant not found")</f>
        <v>travel</v>
      </c>
      <c r="K32" t="str">
        <f>IFERROR(VLOOKUP(C32,Merchants!$A:$D,4,FALSE),"Merchant not found")</f>
        <v>West</v>
      </c>
    </row>
    <row r="33" spans="1:11" x14ac:dyDescent="0.35">
      <c r="A33" t="s">
        <v>131</v>
      </c>
      <c r="B33">
        <v>63</v>
      </c>
      <c r="C33">
        <v>30</v>
      </c>
      <c r="D33" t="s">
        <v>132</v>
      </c>
      <c r="E33">
        <v>799</v>
      </c>
      <c r="F33" t="s">
        <v>68</v>
      </c>
      <c r="G33" t="s">
        <v>65</v>
      </c>
      <c r="H33">
        <v>17</v>
      </c>
      <c r="I33" t="str">
        <f>IFERROR(VLOOKUP(C33,Merchants!$A:$D,2,FALSE),"Merchant not found")</f>
        <v>Merchant_030</v>
      </c>
      <c r="J33" t="str">
        <f>IFERROR(VLOOKUP(C33,Merchants!$A:$D,3,FALSE),"Merchant not found")</f>
        <v>travel</v>
      </c>
      <c r="K33" t="str">
        <f>IFERROR(VLOOKUP(C33,Merchants!$A:$D,4,FALSE),"Merchant not found")</f>
        <v>West</v>
      </c>
    </row>
    <row r="34" spans="1:11" x14ac:dyDescent="0.35">
      <c r="A34" t="s">
        <v>133</v>
      </c>
      <c r="B34">
        <v>272</v>
      </c>
      <c r="C34">
        <v>36</v>
      </c>
      <c r="D34" t="s">
        <v>134</v>
      </c>
      <c r="E34">
        <v>149</v>
      </c>
      <c r="F34" t="s">
        <v>68</v>
      </c>
      <c r="G34" t="s">
        <v>65</v>
      </c>
      <c r="H34">
        <v>76</v>
      </c>
      <c r="I34" t="str">
        <f>IFERROR(VLOOKUP(C34,Merchants!$A:$D,2,FALSE),"Merchant not found")</f>
        <v>Merchant_036</v>
      </c>
      <c r="J34" t="str">
        <f>IFERROR(VLOOKUP(C34,Merchants!$A:$D,3,FALSE),"Merchant not found")</f>
        <v>entertainment</v>
      </c>
      <c r="K34" t="str">
        <f>IFERROR(VLOOKUP(C34,Merchants!$A:$D,4,FALSE),"Merchant not found")</f>
        <v>East</v>
      </c>
    </row>
    <row r="35" spans="1:11" x14ac:dyDescent="0.35">
      <c r="A35" t="s">
        <v>135</v>
      </c>
      <c r="B35">
        <v>259</v>
      </c>
      <c r="C35">
        <v>28</v>
      </c>
      <c r="D35" t="s">
        <v>136</v>
      </c>
      <c r="E35">
        <v>49</v>
      </c>
      <c r="F35" t="s">
        <v>64</v>
      </c>
      <c r="G35" t="s">
        <v>65</v>
      </c>
      <c r="H35">
        <v>70</v>
      </c>
      <c r="I35" t="str">
        <f>IFERROR(VLOOKUP(C35,Merchants!$A:$D,2,FALSE),"Merchant not found")</f>
        <v>Merchant_028</v>
      </c>
      <c r="J35" t="str">
        <f>IFERROR(VLOOKUP(C35,Merchants!$A:$D,3,FALSE),"Merchant not found")</f>
        <v>ecommerce</v>
      </c>
      <c r="K35" t="str">
        <f>IFERROR(VLOOKUP(C35,Merchants!$A:$D,4,FALSE),"Merchant not found")</f>
        <v>South</v>
      </c>
    </row>
    <row r="36" spans="1:11" x14ac:dyDescent="0.35">
      <c r="A36" t="s">
        <v>137</v>
      </c>
      <c r="B36">
        <v>244</v>
      </c>
      <c r="C36">
        <v>29</v>
      </c>
      <c r="D36" t="s">
        <v>138</v>
      </c>
      <c r="E36">
        <v>299</v>
      </c>
      <c r="F36" t="s">
        <v>73</v>
      </c>
      <c r="G36" t="s">
        <v>65</v>
      </c>
      <c r="H36">
        <v>33</v>
      </c>
      <c r="I36" t="str">
        <f>IFERROR(VLOOKUP(C36,Merchants!$A:$D,2,FALSE),"Merchant not found")</f>
        <v>Merchant_029</v>
      </c>
      <c r="J36" t="str">
        <f>IFERROR(VLOOKUP(C36,Merchants!$A:$D,3,FALSE),"Merchant not found")</f>
        <v>ecommerce</v>
      </c>
      <c r="K36" t="str">
        <f>IFERROR(VLOOKUP(C36,Merchants!$A:$D,4,FALSE),"Merchant not found")</f>
        <v>North</v>
      </c>
    </row>
    <row r="37" spans="1:11" x14ac:dyDescent="0.35">
      <c r="A37" t="s">
        <v>139</v>
      </c>
      <c r="B37">
        <v>327</v>
      </c>
      <c r="C37">
        <v>18</v>
      </c>
      <c r="D37" t="s">
        <v>140</v>
      </c>
      <c r="E37">
        <v>149</v>
      </c>
      <c r="F37" t="s">
        <v>90</v>
      </c>
      <c r="G37" t="s">
        <v>65</v>
      </c>
      <c r="H37">
        <v>98</v>
      </c>
      <c r="I37" t="str">
        <f>IFERROR(VLOOKUP(C37,Merchants!$A:$D,2,FALSE),"Merchant not found")</f>
        <v>Merchant_018</v>
      </c>
      <c r="J37" t="str">
        <f>IFERROR(VLOOKUP(C37,Merchants!$A:$D,3,FALSE),"Merchant not found")</f>
        <v>grocery</v>
      </c>
      <c r="K37" t="str">
        <f>IFERROR(VLOOKUP(C37,Merchants!$A:$D,4,FALSE),"Merchant not found")</f>
        <v>West</v>
      </c>
    </row>
    <row r="38" spans="1:11" x14ac:dyDescent="0.35">
      <c r="A38" t="s">
        <v>141</v>
      </c>
      <c r="B38">
        <v>321</v>
      </c>
      <c r="C38">
        <v>16</v>
      </c>
      <c r="D38" t="s">
        <v>142</v>
      </c>
      <c r="E38">
        <v>49</v>
      </c>
      <c r="F38" t="s">
        <v>68</v>
      </c>
      <c r="G38" t="s">
        <v>65</v>
      </c>
      <c r="H38">
        <v>35</v>
      </c>
      <c r="I38" t="str">
        <f>IFERROR(VLOOKUP(C38,Merchants!$A:$D,2,FALSE),"Merchant not found")</f>
        <v>Merchant_016</v>
      </c>
      <c r="J38" t="str">
        <f>IFERROR(VLOOKUP(C38,Merchants!$A:$D,3,FALSE),"Merchant not found")</f>
        <v>bill_payment</v>
      </c>
      <c r="K38" t="str">
        <f>IFERROR(VLOOKUP(C38,Merchants!$A:$D,4,FALSE),"Merchant not found")</f>
        <v>West</v>
      </c>
    </row>
    <row r="39" spans="1:11" x14ac:dyDescent="0.35">
      <c r="A39" t="s">
        <v>143</v>
      </c>
      <c r="B39">
        <v>147</v>
      </c>
      <c r="C39">
        <v>16</v>
      </c>
      <c r="D39" t="s">
        <v>144</v>
      </c>
      <c r="E39">
        <v>2999</v>
      </c>
      <c r="F39" t="s">
        <v>90</v>
      </c>
      <c r="G39" t="s">
        <v>65</v>
      </c>
      <c r="H39">
        <v>34</v>
      </c>
      <c r="I39" t="str">
        <f>IFERROR(VLOOKUP(C39,Merchants!$A:$D,2,FALSE),"Merchant not found")</f>
        <v>Merchant_016</v>
      </c>
      <c r="J39" t="str">
        <f>IFERROR(VLOOKUP(C39,Merchants!$A:$D,3,FALSE),"Merchant not found")</f>
        <v>bill_payment</v>
      </c>
      <c r="K39" t="str">
        <f>IFERROR(VLOOKUP(C39,Merchants!$A:$D,4,FALSE),"Merchant not found")</f>
        <v>West</v>
      </c>
    </row>
    <row r="40" spans="1:11" x14ac:dyDescent="0.35">
      <c r="A40" t="s">
        <v>145</v>
      </c>
      <c r="B40">
        <v>277</v>
      </c>
      <c r="C40">
        <v>6</v>
      </c>
      <c r="D40" t="s">
        <v>146</v>
      </c>
      <c r="E40">
        <v>1499</v>
      </c>
      <c r="F40" t="s">
        <v>90</v>
      </c>
      <c r="G40" t="s">
        <v>65</v>
      </c>
      <c r="H40">
        <v>17</v>
      </c>
      <c r="I40" t="str">
        <f>IFERROR(VLOOKUP(C40,Merchants!$A:$D,2,FALSE),"Merchant not found")</f>
        <v>Merchant_006</v>
      </c>
      <c r="J40" t="str">
        <f>IFERROR(VLOOKUP(C40,Merchants!$A:$D,3,FALSE),"Merchant not found")</f>
        <v>food_delivery</v>
      </c>
      <c r="K40" t="str">
        <f>IFERROR(VLOOKUP(C40,Merchants!$A:$D,4,FALSE),"Merchant not found")</f>
        <v>South</v>
      </c>
    </row>
    <row r="41" spans="1:11" x14ac:dyDescent="0.35">
      <c r="A41" t="s">
        <v>147</v>
      </c>
      <c r="B41">
        <v>79</v>
      </c>
      <c r="C41">
        <v>14</v>
      </c>
      <c r="D41" t="s">
        <v>148</v>
      </c>
      <c r="E41">
        <v>1499</v>
      </c>
      <c r="F41" t="s">
        <v>68</v>
      </c>
      <c r="G41" t="s">
        <v>65</v>
      </c>
      <c r="H41">
        <v>8</v>
      </c>
      <c r="I41" t="str">
        <f>IFERROR(VLOOKUP(C41,Merchants!$A:$D,2,FALSE),"Merchant not found")</f>
        <v>Merchant_014</v>
      </c>
      <c r="J41" t="str">
        <f>IFERROR(VLOOKUP(C41,Merchants!$A:$D,3,FALSE),"Merchant not found")</f>
        <v>grocery</v>
      </c>
      <c r="K41" t="str">
        <f>IFERROR(VLOOKUP(C41,Merchants!$A:$D,4,FALSE),"Merchant not found")</f>
        <v>East</v>
      </c>
    </row>
    <row r="42" spans="1:11" x14ac:dyDescent="0.35">
      <c r="A42" t="s">
        <v>149</v>
      </c>
      <c r="B42">
        <v>278</v>
      </c>
      <c r="C42">
        <v>30</v>
      </c>
      <c r="D42" t="s">
        <v>150</v>
      </c>
      <c r="E42">
        <v>1499</v>
      </c>
      <c r="F42" t="s">
        <v>68</v>
      </c>
      <c r="G42" t="s">
        <v>65</v>
      </c>
      <c r="H42">
        <v>53</v>
      </c>
      <c r="I42" t="str">
        <f>IFERROR(VLOOKUP(C42,Merchants!$A:$D,2,FALSE),"Merchant not found")</f>
        <v>Merchant_030</v>
      </c>
      <c r="J42" t="str">
        <f>IFERROR(VLOOKUP(C42,Merchants!$A:$D,3,FALSE),"Merchant not found")</f>
        <v>travel</v>
      </c>
      <c r="K42" t="str">
        <f>IFERROR(VLOOKUP(C42,Merchants!$A:$D,4,FALSE),"Merchant not found")</f>
        <v>West</v>
      </c>
    </row>
    <row r="43" spans="1:11" x14ac:dyDescent="0.35">
      <c r="A43" t="s">
        <v>151</v>
      </c>
      <c r="B43">
        <v>216</v>
      </c>
      <c r="C43">
        <v>25</v>
      </c>
      <c r="D43" t="s">
        <v>152</v>
      </c>
      <c r="E43">
        <v>99</v>
      </c>
      <c r="F43" t="s">
        <v>68</v>
      </c>
      <c r="G43" t="s">
        <v>65</v>
      </c>
      <c r="H43">
        <v>98</v>
      </c>
      <c r="I43" t="str">
        <f>IFERROR(VLOOKUP(C43,Merchants!$A:$D,2,FALSE),"Merchant not found")</f>
        <v>Merchant_025</v>
      </c>
      <c r="J43" t="str">
        <f>IFERROR(VLOOKUP(C43,Merchants!$A:$D,3,FALSE),"Merchant not found")</f>
        <v>travel</v>
      </c>
      <c r="K43" t="str">
        <f>IFERROR(VLOOKUP(C43,Merchants!$A:$D,4,FALSE),"Merchant not found")</f>
        <v>South</v>
      </c>
    </row>
    <row r="44" spans="1:11" x14ac:dyDescent="0.35">
      <c r="A44" t="s">
        <v>153</v>
      </c>
      <c r="B44">
        <v>295</v>
      </c>
      <c r="C44">
        <v>25</v>
      </c>
      <c r="D44" t="s">
        <v>154</v>
      </c>
      <c r="E44">
        <v>1499</v>
      </c>
      <c r="F44" t="s">
        <v>68</v>
      </c>
      <c r="G44" t="s">
        <v>65</v>
      </c>
      <c r="H44">
        <v>61</v>
      </c>
      <c r="I44" t="str">
        <f>IFERROR(VLOOKUP(C44,Merchants!$A:$D,2,FALSE),"Merchant not found")</f>
        <v>Merchant_025</v>
      </c>
      <c r="J44" t="str">
        <f>IFERROR(VLOOKUP(C44,Merchants!$A:$D,3,FALSE),"Merchant not found")</f>
        <v>travel</v>
      </c>
      <c r="K44" t="str">
        <f>IFERROR(VLOOKUP(C44,Merchants!$A:$D,4,FALSE),"Merchant not found")</f>
        <v>South</v>
      </c>
    </row>
    <row r="45" spans="1:11" x14ac:dyDescent="0.35">
      <c r="A45" t="s">
        <v>155</v>
      </c>
      <c r="B45">
        <v>200</v>
      </c>
      <c r="C45">
        <v>27</v>
      </c>
      <c r="D45" t="s">
        <v>156</v>
      </c>
      <c r="E45">
        <v>149</v>
      </c>
      <c r="F45" t="s">
        <v>68</v>
      </c>
      <c r="G45" t="s">
        <v>65</v>
      </c>
      <c r="H45">
        <v>68</v>
      </c>
      <c r="I45" t="str">
        <f>IFERROR(VLOOKUP(C45,Merchants!$A:$D,2,FALSE),"Merchant not found")</f>
        <v>Merchant_027</v>
      </c>
      <c r="J45" t="str">
        <f>IFERROR(VLOOKUP(C45,Merchants!$A:$D,3,FALSE),"Merchant not found")</f>
        <v>ecommerce</v>
      </c>
      <c r="K45" t="str">
        <f>IFERROR(VLOOKUP(C45,Merchants!$A:$D,4,FALSE),"Merchant not found")</f>
        <v>North</v>
      </c>
    </row>
    <row r="46" spans="1:11" x14ac:dyDescent="0.35">
      <c r="A46" t="s">
        <v>157</v>
      </c>
      <c r="B46">
        <v>309</v>
      </c>
      <c r="C46">
        <v>15</v>
      </c>
      <c r="D46" t="s">
        <v>158</v>
      </c>
      <c r="E46">
        <v>99</v>
      </c>
      <c r="F46" t="s">
        <v>73</v>
      </c>
      <c r="G46" t="s">
        <v>65</v>
      </c>
      <c r="H46">
        <v>62</v>
      </c>
      <c r="I46" t="str">
        <f>IFERROR(VLOOKUP(C46,Merchants!$A:$D,2,FALSE),"Merchant not found")</f>
        <v>Merchant_015</v>
      </c>
      <c r="J46" t="str">
        <f>IFERROR(VLOOKUP(C46,Merchants!$A:$D,3,FALSE),"Merchant not found")</f>
        <v>travel</v>
      </c>
      <c r="K46" t="str">
        <f>IFERROR(VLOOKUP(C46,Merchants!$A:$D,4,FALSE),"Merchant not found")</f>
        <v>North</v>
      </c>
    </row>
    <row r="47" spans="1:11" x14ac:dyDescent="0.35">
      <c r="A47" t="s">
        <v>159</v>
      </c>
      <c r="B47">
        <v>249</v>
      </c>
      <c r="C47">
        <v>2</v>
      </c>
      <c r="D47" t="s">
        <v>160</v>
      </c>
      <c r="E47">
        <v>299</v>
      </c>
      <c r="F47" t="s">
        <v>64</v>
      </c>
      <c r="G47" t="s">
        <v>65</v>
      </c>
      <c r="H47">
        <v>49</v>
      </c>
      <c r="I47" t="str">
        <f>IFERROR(VLOOKUP(C47,Merchants!$A:$D,2,FALSE),"Merchant not found")</f>
        <v>Merchant_002</v>
      </c>
      <c r="J47" t="str">
        <f>IFERROR(VLOOKUP(C47,Merchants!$A:$D,3,FALSE),"Merchant not found")</f>
        <v>grocery</v>
      </c>
      <c r="K47" t="str">
        <f>IFERROR(VLOOKUP(C47,Merchants!$A:$D,4,FALSE),"Merchant not found")</f>
        <v>West</v>
      </c>
    </row>
    <row r="48" spans="1:11" x14ac:dyDescent="0.35">
      <c r="A48" t="s">
        <v>161</v>
      </c>
      <c r="B48">
        <v>208</v>
      </c>
      <c r="C48">
        <v>11</v>
      </c>
      <c r="D48" t="s">
        <v>162</v>
      </c>
      <c r="E48">
        <v>4999</v>
      </c>
      <c r="F48" t="s">
        <v>73</v>
      </c>
      <c r="G48" t="s">
        <v>65</v>
      </c>
      <c r="H48">
        <v>59</v>
      </c>
      <c r="I48" t="str">
        <f>IFERROR(VLOOKUP(C48,Merchants!$A:$D,2,FALSE),"Merchant not found")</f>
        <v>Merchant_011</v>
      </c>
      <c r="J48" t="str">
        <f>IFERROR(VLOOKUP(C48,Merchants!$A:$D,3,FALSE),"Merchant not found")</f>
        <v>ecommerce</v>
      </c>
      <c r="K48" t="str">
        <f>IFERROR(VLOOKUP(C48,Merchants!$A:$D,4,FALSE),"Merchant not found")</f>
        <v>North</v>
      </c>
    </row>
    <row r="49" spans="1:11" x14ac:dyDescent="0.35">
      <c r="A49" t="s">
        <v>163</v>
      </c>
      <c r="B49">
        <v>274</v>
      </c>
      <c r="C49">
        <v>2</v>
      </c>
      <c r="D49" t="s">
        <v>164</v>
      </c>
      <c r="E49">
        <v>299</v>
      </c>
      <c r="F49" t="s">
        <v>68</v>
      </c>
      <c r="G49" t="s">
        <v>65</v>
      </c>
      <c r="H49">
        <v>50</v>
      </c>
      <c r="I49" t="str">
        <f>IFERROR(VLOOKUP(C49,Merchants!$A:$D,2,FALSE),"Merchant not found")</f>
        <v>Merchant_002</v>
      </c>
      <c r="J49" t="str">
        <f>IFERROR(VLOOKUP(C49,Merchants!$A:$D,3,FALSE),"Merchant not found")</f>
        <v>grocery</v>
      </c>
      <c r="K49" t="str">
        <f>IFERROR(VLOOKUP(C49,Merchants!$A:$D,4,FALSE),"Merchant not found")</f>
        <v>West</v>
      </c>
    </row>
    <row r="50" spans="1:11" x14ac:dyDescent="0.35">
      <c r="A50" t="s">
        <v>165</v>
      </c>
      <c r="B50">
        <v>14</v>
      </c>
      <c r="C50">
        <v>6</v>
      </c>
      <c r="D50" t="s">
        <v>166</v>
      </c>
      <c r="E50">
        <v>49</v>
      </c>
      <c r="F50" t="s">
        <v>64</v>
      </c>
      <c r="G50" t="s">
        <v>65</v>
      </c>
      <c r="H50">
        <v>82</v>
      </c>
      <c r="I50" t="str">
        <f>IFERROR(VLOOKUP(C50,Merchants!$A:$D,2,FALSE),"Merchant not found")</f>
        <v>Merchant_006</v>
      </c>
      <c r="J50" t="str">
        <f>IFERROR(VLOOKUP(C50,Merchants!$A:$D,3,FALSE),"Merchant not found")</f>
        <v>food_delivery</v>
      </c>
      <c r="K50" t="str">
        <f>IFERROR(VLOOKUP(C50,Merchants!$A:$D,4,FALSE),"Merchant not found")</f>
        <v>South</v>
      </c>
    </row>
    <row r="51" spans="1:11" x14ac:dyDescent="0.35">
      <c r="A51" t="s">
        <v>167</v>
      </c>
      <c r="B51">
        <v>237</v>
      </c>
      <c r="C51">
        <v>12</v>
      </c>
      <c r="D51" t="s">
        <v>168</v>
      </c>
      <c r="E51">
        <v>49</v>
      </c>
      <c r="F51" t="s">
        <v>68</v>
      </c>
      <c r="G51" t="s">
        <v>65</v>
      </c>
      <c r="H51">
        <v>6</v>
      </c>
      <c r="I51" t="str">
        <f>IFERROR(VLOOKUP(C51,Merchants!$A:$D,2,FALSE),"Merchant not found")</f>
        <v>Merchant_012</v>
      </c>
      <c r="J51" t="str">
        <f>IFERROR(VLOOKUP(C51,Merchants!$A:$D,3,FALSE),"Merchant not found")</f>
        <v>ecommerce</v>
      </c>
      <c r="K51" t="str">
        <f>IFERROR(VLOOKUP(C51,Merchants!$A:$D,4,FALSE),"Merchant not found")</f>
        <v>East</v>
      </c>
    </row>
    <row r="52" spans="1:11" x14ac:dyDescent="0.35">
      <c r="A52" t="s">
        <v>169</v>
      </c>
      <c r="B52">
        <v>109</v>
      </c>
      <c r="C52">
        <v>30</v>
      </c>
      <c r="D52" t="s">
        <v>170</v>
      </c>
      <c r="E52">
        <v>99</v>
      </c>
      <c r="F52" t="s">
        <v>68</v>
      </c>
      <c r="G52" t="s">
        <v>65</v>
      </c>
      <c r="H52">
        <v>41</v>
      </c>
      <c r="I52" t="str">
        <f>IFERROR(VLOOKUP(C52,Merchants!$A:$D,2,FALSE),"Merchant not found")</f>
        <v>Merchant_030</v>
      </c>
      <c r="J52" t="str">
        <f>IFERROR(VLOOKUP(C52,Merchants!$A:$D,3,FALSE),"Merchant not found")</f>
        <v>travel</v>
      </c>
      <c r="K52" t="str">
        <f>IFERROR(VLOOKUP(C52,Merchants!$A:$D,4,FALSE),"Merchant not found")</f>
        <v>West</v>
      </c>
    </row>
    <row r="53" spans="1:11" x14ac:dyDescent="0.35">
      <c r="A53" t="s">
        <v>171</v>
      </c>
      <c r="B53">
        <v>216</v>
      </c>
      <c r="C53">
        <v>17</v>
      </c>
      <c r="D53" t="s">
        <v>172</v>
      </c>
      <c r="E53">
        <v>4999</v>
      </c>
      <c r="F53" t="s">
        <v>68</v>
      </c>
      <c r="G53" t="s">
        <v>65</v>
      </c>
      <c r="H53">
        <v>10</v>
      </c>
      <c r="I53" t="str">
        <f>IFERROR(VLOOKUP(C53,Merchants!$A:$D,2,FALSE),"Merchant not found")</f>
        <v>Merchant_017</v>
      </c>
      <c r="J53" t="str">
        <f>IFERROR(VLOOKUP(C53,Merchants!$A:$D,3,FALSE),"Merchant not found")</f>
        <v>grocery</v>
      </c>
      <c r="K53" t="str">
        <f>IFERROR(VLOOKUP(C53,Merchants!$A:$D,4,FALSE),"Merchant not found")</f>
        <v>North</v>
      </c>
    </row>
    <row r="54" spans="1:11" x14ac:dyDescent="0.35">
      <c r="A54" t="s">
        <v>173</v>
      </c>
      <c r="B54">
        <v>277</v>
      </c>
      <c r="C54">
        <v>4</v>
      </c>
      <c r="D54" t="s">
        <v>174</v>
      </c>
      <c r="E54">
        <v>799</v>
      </c>
      <c r="F54" t="s">
        <v>68</v>
      </c>
      <c r="G54" t="s">
        <v>65</v>
      </c>
      <c r="H54">
        <v>44</v>
      </c>
      <c r="I54" t="str">
        <f>IFERROR(VLOOKUP(C54,Merchants!$A:$D,2,FALSE),"Merchant not found")</f>
        <v>Merchant_004</v>
      </c>
      <c r="J54" t="str">
        <f>IFERROR(VLOOKUP(C54,Merchants!$A:$D,3,FALSE),"Merchant not found")</f>
        <v>ecommerce</v>
      </c>
      <c r="K54" t="str">
        <f>IFERROR(VLOOKUP(C54,Merchants!$A:$D,4,FALSE),"Merchant not found")</f>
        <v>East</v>
      </c>
    </row>
    <row r="55" spans="1:11" x14ac:dyDescent="0.35">
      <c r="A55" t="s">
        <v>175</v>
      </c>
      <c r="B55">
        <v>334</v>
      </c>
      <c r="C55">
        <v>3</v>
      </c>
      <c r="D55" t="s">
        <v>176</v>
      </c>
      <c r="E55">
        <v>149</v>
      </c>
      <c r="F55" t="s">
        <v>64</v>
      </c>
      <c r="G55" t="s">
        <v>65</v>
      </c>
      <c r="H55">
        <v>96</v>
      </c>
      <c r="I55" t="str">
        <f>IFERROR(VLOOKUP(C55,Merchants!$A:$D,2,FALSE),"Merchant not found")</f>
        <v>Merchant_003</v>
      </c>
      <c r="J55" t="str">
        <f>IFERROR(VLOOKUP(C55,Merchants!$A:$D,3,FALSE),"Merchant not found")</f>
        <v>grocery</v>
      </c>
      <c r="K55" t="str">
        <f>IFERROR(VLOOKUP(C55,Merchants!$A:$D,4,FALSE),"Merchant not found")</f>
        <v>East</v>
      </c>
    </row>
    <row r="56" spans="1:11" x14ac:dyDescent="0.35">
      <c r="A56" t="s">
        <v>177</v>
      </c>
      <c r="B56">
        <v>11</v>
      </c>
      <c r="C56">
        <v>40</v>
      </c>
      <c r="D56" t="s">
        <v>178</v>
      </c>
      <c r="E56">
        <v>299</v>
      </c>
      <c r="F56" t="s">
        <v>68</v>
      </c>
      <c r="G56" t="s">
        <v>65</v>
      </c>
      <c r="H56">
        <v>19</v>
      </c>
      <c r="I56" t="str">
        <f>IFERROR(VLOOKUP(C56,Merchants!$A:$D,2,FALSE),"Merchant not found")</f>
        <v>Merchant_040</v>
      </c>
      <c r="J56" t="str">
        <f>IFERROR(VLOOKUP(C56,Merchants!$A:$D,3,FALSE),"Merchant not found")</f>
        <v>entertainment</v>
      </c>
      <c r="K56" t="str">
        <f>IFERROR(VLOOKUP(C56,Merchants!$A:$D,4,FALSE),"Merchant not found")</f>
        <v>South</v>
      </c>
    </row>
    <row r="57" spans="1:11" x14ac:dyDescent="0.35">
      <c r="A57" t="s">
        <v>179</v>
      </c>
      <c r="B57">
        <v>343</v>
      </c>
      <c r="C57">
        <v>8</v>
      </c>
      <c r="D57" t="s">
        <v>180</v>
      </c>
      <c r="E57">
        <v>99</v>
      </c>
      <c r="F57" t="s">
        <v>68</v>
      </c>
      <c r="G57" t="s">
        <v>65</v>
      </c>
      <c r="H57">
        <v>72</v>
      </c>
      <c r="I57" t="str">
        <f>IFERROR(VLOOKUP(C57,Merchants!$A:$D,2,FALSE),"Merchant not found")</f>
        <v>Merchant_008</v>
      </c>
      <c r="J57" t="str">
        <f>IFERROR(VLOOKUP(C57,Merchants!$A:$D,3,FALSE),"Merchant not found")</f>
        <v>food_delivery</v>
      </c>
      <c r="K57" t="str">
        <f>IFERROR(VLOOKUP(C57,Merchants!$A:$D,4,FALSE),"Merchant not found")</f>
        <v>North</v>
      </c>
    </row>
    <row r="58" spans="1:11" x14ac:dyDescent="0.35">
      <c r="A58" t="s">
        <v>181</v>
      </c>
      <c r="B58">
        <v>132</v>
      </c>
      <c r="C58">
        <v>24</v>
      </c>
      <c r="D58" t="s">
        <v>182</v>
      </c>
      <c r="E58">
        <v>299</v>
      </c>
      <c r="F58" t="s">
        <v>64</v>
      </c>
      <c r="G58" t="s">
        <v>65</v>
      </c>
      <c r="H58">
        <v>21</v>
      </c>
      <c r="I58" t="str">
        <f>IFERROR(VLOOKUP(C58,Merchants!$A:$D,2,FALSE),"Merchant not found")</f>
        <v>Merchant_024</v>
      </c>
      <c r="J58" t="str">
        <f>IFERROR(VLOOKUP(C58,Merchants!$A:$D,3,FALSE),"Merchant not found")</f>
        <v>grocery</v>
      </c>
      <c r="K58" t="str">
        <f>IFERROR(VLOOKUP(C58,Merchants!$A:$D,4,FALSE),"Merchant not found")</f>
        <v>North</v>
      </c>
    </row>
    <row r="59" spans="1:11" x14ac:dyDescent="0.35">
      <c r="A59" t="s">
        <v>183</v>
      </c>
      <c r="B59">
        <v>59</v>
      </c>
      <c r="C59">
        <v>11</v>
      </c>
      <c r="D59" t="s">
        <v>184</v>
      </c>
      <c r="E59">
        <v>299</v>
      </c>
      <c r="F59" t="s">
        <v>68</v>
      </c>
      <c r="G59" t="s">
        <v>65</v>
      </c>
      <c r="H59">
        <v>39</v>
      </c>
      <c r="I59" t="str">
        <f>IFERROR(VLOOKUP(C59,Merchants!$A:$D,2,FALSE),"Merchant not found")</f>
        <v>Merchant_011</v>
      </c>
      <c r="J59" t="str">
        <f>IFERROR(VLOOKUP(C59,Merchants!$A:$D,3,FALSE),"Merchant not found")</f>
        <v>ecommerce</v>
      </c>
      <c r="K59" t="str">
        <f>IFERROR(VLOOKUP(C59,Merchants!$A:$D,4,FALSE),"Merchant not found")</f>
        <v>North</v>
      </c>
    </row>
    <row r="60" spans="1:11" x14ac:dyDescent="0.35">
      <c r="A60" t="s">
        <v>185</v>
      </c>
      <c r="B60">
        <v>160</v>
      </c>
      <c r="C60">
        <v>37</v>
      </c>
      <c r="D60" t="s">
        <v>186</v>
      </c>
      <c r="E60">
        <v>49</v>
      </c>
      <c r="F60" t="s">
        <v>64</v>
      </c>
      <c r="G60" t="s">
        <v>65</v>
      </c>
      <c r="H60">
        <v>86</v>
      </c>
      <c r="I60" t="str">
        <f>IFERROR(VLOOKUP(C60,Merchants!$A:$D,2,FALSE),"Merchant not found")</f>
        <v>Merchant_037</v>
      </c>
      <c r="J60" t="str">
        <f>IFERROR(VLOOKUP(C60,Merchants!$A:$D,3,FALSE),"Merchant not found")</f>
        <v>entertainment</v>
      </c>
      <c r="K60" t="str">
        <f>IFERROR(VLOOKUP(C60,Merchants!$A:$D,4,FALSE),"Merchant not found")</f>
        <v>South</v>
      </c>
    </row>
    <row r="61" spans="1:11" x14ac:dyDescent="0.35">
      <c r="A61" t="s">
        <v>187</v>
      </c>
      <c r="B61">
        <v>102</v>
      </c>
      <c r="C61">
        <v>5</v>
      </c>
      <c r="D61" t="s">
        <v>188</v>
      </c>
      <c r="E61">
        <v>2999</v>
      </c>
      <c r="F61" t="s">
        <v>68</v>
      </c>
      <c r="G61" t="s">
        <v>65</v>
      </c>
      <c r="H61">
        <v>75</v>
      </c>
      <c r="I61" t="str">
        <f>IFERROR(VLOOKUP(C61,Merchants!$A:$D,2,FALSE),"Merchant not found")</f>
        <v>Merchant_005</v>
      </c>
      <c r="J61" t="str">
        <f>IFERROR(VLOOKUP(C61,Merchants!$A:$D,3,FALSE),"Merchant not found")</f>
        <v>recharge</v>
      </c>
      <c r="K61" t="str">
        <f>IFERROR(VLOOKUP(C61,Merchants!$A:$D,4,FALSE),"Merchant not found")</f>
        <v>South</v>
      </c>
    </row>
    <row r="62" spans="1:11" x14ac:dyDescent="0.35">
      <c r="A62" t="s">
        <v>189</v>
      </c>
      <c r="B62">
        <v>53</v>
      </c>
      <c r="C62">
        <v>20</v>
      </c>
      <c r="D62" t="s">
        <v>190</v>
      </c>
      <c r="E62">
        <v>49</v>
      </c>
      <c r="F62" t="s">
        <v>73</v>
      </c>
      <c r="G62" t="s">
        <v>65</v>
      </c>
      <c r="H62">
        <v>87</v>
      </c>
      <c r="I62" t="str">
        <f>IFERROR(VLOOKUP(C62,Merchants!$A:$D,2,FALSE),"Merchant not found")</f>
        <v>Merchant_020</v>
      </c>
      <c r="J62" t="str">
        <f>IFERROR(VLOOKUP(C62,Merchants!$A:$D,3,FALSE),"Merchant not found")</f>
        <v>food_delivery</v>
      </c>
      <c r="K62" t="str">
        <f>IFERROR(VLOOKUP(C62,Merchants!$A:$D,4,FALSE),"Merchant not found")</f>
        <v>East</v>
      </c>
    </row>
    <row r="63" spans="1:11" x14ac:dyDescent="0.35">
      <c r="A63" t="s">
        <v>191</v>
      </c>
      <c r="B63">
        <v>290</v>
      </c>
      <c r="C63">
        <v>3</v>
      </c>
      <c r="D63" t="s">
        <v>192</v>
      </c>
      <c r="E63">
        <v>99</v>
      </c>
      <c r="F63" t="s">
        <v>64</v>
      </c>
      <c r="G63" t="s">
        <v>65</v>
      </c>
      <c r="H63">
        <v>44</v>
      </c>
      <c r="I63" t="str">
        <f>IFERROR(VLOOKUP(C63,Merchants!$A:$D,2,FALSE),"Merchant not found")</f>
        <v>Merchant_003</v>
      </c>
      <c r="J63" t="str">
        <f>IFERROR(VLOOKUP(C63,Merchants!$A:$D,3,FALSE),"Merchant not found")</f>
        <v>grocery</v>
      </c>
      <c r="K63" t="str">
        <f>IFERROR(VLOOKUP(C63,Merchants!$A:$D,4,FALSE),"Merchant not found")</f>
        <v>East</v>
      </c>
    </row>
    <row r="64" spans="1:11" x14ac:dyDescent="0.35">
      <c r="A64" t="s">
        <v>193</v>
      </c>
      <c r="B64">
        <v>190</v>
      </c>
      <c r="C64">
        <v>5</v>
      </c>
      <c r="D64" t="s">
        <v>194</v>
      </c>
      <c r="E64">
        <v>299</v>
      </c>
      <c r="F64" t="s">
        <v>68</v>
      </c>
      <c r="G64" t="s">
        <v>65</v>
      </c>
      <c r="H64">
        <v>64</v>
      </c>
      <c r="I64" t="str">
        <f>IFERROR(VLOOKUP(C64,Merchants!$A:$D,2,FALSE),"Merchant not found")</f>
        <v>Merchant_005</v>
      </c>
      <c r="J64" t="str">
        <f>IFERROR(VLOOKUP(C64,Merchants!$A:$D,3,FALSE),"Merchant not found")</f>
        <v>recharge</v>
      </c>
      <c r="K64" t="str">
        <f>IFERROR(VLOOKUP(C64,Merchants!$A:$D,4,FALSE),"Merchant not found")</f>
        <v>South</v>
      </c>
    </row>
    <row r="65" spans="1:11" x14ac:dyDescent="0.35">
      <c r="A65" t="s">
        <v>195</v>
      </c>
      <c r="B65">
        <v>216</v>
      </c>
      <c r="C65">
        <v>32</v>
      </c>
      <c r="D65" t="s">
        <v>196</v>
      </c>
      <c r="E65">
        <v>49</v>
      </c>
      <c r="F65" t="s">
        <v>90</v>
      </c>
      <c r="G65" t="s">
        <v>65</v>
      </c>
      <c r="H65">
        <v>13</v>
      </c>
      <c r="I65" t="str">
        <f>IFERROR(VLOOKUP(C65,Merchants!$A:$D,2,FALSE),"Merchant not found")</f>
        <v>Merchant_032</v>
      </c>
      <c r="J65" t="str">
        <f>IFERROR(VLOOKUP(C65,Merchants!$A:$D,3,FALSE),"Merchant not found")</f>
        <v>food_delivery</v>
      </c>
      <c r="K65" t="str">
        <f>IFERROR(VLOOKUP(C65,Merchants!$A:$D,4,FALSE),"Merchant not found")</f>
        <v>West</v>
      </c>
    </row>
    <row r="66" spans="1:11" x14ac:dyDescent="0.35">
      <c r="A66" t="s">
        <v>197</v>
      </c>
      <c r="B66">
        <v>236</v>
      </c>
      <c r="C66">
        <v>10</v>
      </c>
      <c r="D66" t="s">
        <v>198</v>
      </c>
      <c r="E66">
        <v>499</v>
      </c>
      <c r="F66" t="s">
        <v>68</v>
      </c>
      <c r="G66" t="s">
        <v>65</v>
      </c>
      <c r="H66">
        <v>55</v>
      </c>
      <c r="I66" t="str">
        <f>IFERROR(VLOOKUP(C66,Merchants!$A:$D,2,FALSE),"Merchant not found")</f>
        <v>Merchant_010</v>
      </c>
      <c r="J66" t="str">
        <f>IFERROR(VLOOKUP(C66,Merchants!$A:$D,3,FALSE),"Merchant not found")</f>
        <v>grocery</v>
      </c>
      <c r="K66" t="str">
        <f>IFERROR(VLOOKUP(C66,Merchants!$A:$D,4,FALSE),"Merchant not found")</f>
        <v>West</v>
      </c>
    </row>
    <row r="67" spans="1:11" x14ac:dyDescent="0.35">
      <c r="A67" t="s">
        <v>199</v>
      </c>
      <c r="B67">
        <v>334</v>
      </c>
      <c r="C67">
        <v>18</v>
      </c>
      <c r="D67" t="s">
        <v>200</v>
      </c>
      <c r="E67">
        <v>499</v>
      </c>
      <c r="F67" t="s">
        <v>90</v>
      </c>
      <c r="G67" t="s">
        <v>65</v>
      </c>
      <c r="H67">
        <v>78</v>
      </c>
      <c r="I67" t="str">
        <f>IFERROR(VLOOKUP(C67,Merchants!$A:$D,2,FALSE),"Merchant not found")</f>
        <v>Merchant_018</v>
      </c>
      <c r="J67" t="str">
        <f>IFERROR(VLOOKUP(C67,Merchants!$A:$D,3,FALSE),"Merchant not found")</f>
        <v>grocery</v>
      </c>
      <c r="K67" t="str">
        <f>IFERROR(VLOOKUP(C67,Merchants!$A:$D,4,FALSE),"Merchant not found")</f>
        <v>West</v>
      </c>
    </row>
    <row r="68" spans="1:11" x14ac:dyDescent="0.35">
      <c r="A68" t="s">
        <v>201</v>
      </c>
      <c r="B68">
        <v>248</v>
      </c>
      <c r="C68">
        <v>30</v>
      </c>
      <c r="D68" t="s">
        <v>202</v>
      </c>
      <c r="E68">
        <v>799</v>
      </c>
      <c r="F68" t="s">
        <v>64</v>
      </c>
      <c r="G68" t="s">
        <v>65</v>
      </c>
      <c r="H68">
        <v>55</v>
      </c>
      <c r="I68" t="str">
        <f>IFERROR(VLOOKUP(C68,Merchants!$A:$D,2,FALSE),"Merchant not found")</f>
        <v>Merchant_030</v>
      </c>
      <c r="J68" t="str">
        <f>IFERROR(VLOOKUP(C68,Merchants!$A:$D,3,FALSE),"Merchant not found")</f>
        <v>travel</v>
      </c>
      <c r="K68" t="str">
        <f>IFERROR(VLOOKUP(C68,Merchants!$A:$D,4,FALSE),"Merchant not found")</f>
        <v>West</v>
      </c>
    </row>
    <row r="69" spans="1:11" x14ac:dyDescent="0.35">
      <c r="A69" t="s">
        <v>203</v>
      </c>
      <c r="B69">
        <v>138</v>
      </c>
      <c r="C69">
        <v>21</v>
      </c>
      <c r="D69" t="s">
        <v>204</v>
      </c>
      <c r="E69">
        <v>49</v>
      </c>
      <c r="F69" t="s">
        <v>90</v>
      </c>
      <c r="G69" t="s">
        <v>65</v>
      </c>
      <c r="H69">
        <v>31</v>
      </c>
      <c r="I69" t="str">
        <f>IFERROR(VLOOKUP(C69,Merchants!$A:$D,2,FALSE),"Merchant not found")</f>
        <v>Merchant_021</v>
      </c>
      <c r="J69" t="str">
        <f>IFERROR(VLOOKUP(C69,Merchants!$A:$D,3,FALSE),"Merchant not found")</f>
        <v>food_delivery</v>
      </c>
      <c r="K69" t="str">
        <f>IFERROR(VLOOKUP(C69,Merchants!$A:$D,4,FALSE),"Merchant not found")</f>
        <v>East</v>
      </c>
    </row>
    <row r="70" spans="1:11" x14ac:dyDescent="0.35">
      <c r="A70" t="s">
        <v>205</v>
      </c>
      <c r="B70">
        <v>231</v>
      </c>
      <c r="C70">
        <v>16</v>
      </c>
      <c r="D70" t="s">
        <v>206</v>
      </c>
      <c r="E70">
        <v>49</v>
      </c>
      <c r="F70" t="s">
        <v>68</v>
      </c>
      <c r="G70" t="s">
        <v>65</v>
      </c>
      <c r="H70">
        <v>96</v>
      </c>
      <c r="I70" t="str">
        <f>IFERROR(VLOOKUP(C70,Merchants!$A:$D,2,FALSE),"Merchant not found")</f>
        <v>Merchant_016</v>
      </c>
      <c r="J70" t="str">
        <f>IFERROR(VLOOKUP(C70,Merchants!$A:$D,3,FALSE),"Merchant not found")</f>
        <v>bill_payment</v>
      </c>
      <c r="K70" t="str">
        <f>IFERROR(VLOOKUP(C70,Merchants!$A:$D,4,FALSE),"Merchant not found")</f>
        <v>West</v>
      </c>
    </row>
    <row r="71" spans="1:11" x14ac:dyDescent="0.35">
      <c r="A71" t="s">
        <v>207</v>
      </c>
      <c r="B71">
        <v>343</v>
      </c>
      <c r="C71">
        <v>25</v>
      </c>
      <c r="D71" t="s">
        <v>208</v>
      </c>
      <c r="E71">
        <v>49</v>
      </c>
      <c r="F71" t="s">
        <v>68</v>
      </c>
      <c r="G71" t="s">
        <v>65</v>
      </c>
      <c r="H71">
        <v>43</v>
      </c>
      <c r="I71" t="str">
        <f>IFERROR(VLOOKUP(C71,Merchants!$A:$D,2,FALSE),"Merchant not found")</f>
        <v>Merchant_025</v>
      </c>
      <c r="J71" t="str">
        <f>IFERROR(VLOOKUP(C71,Merchants!$A:$D,3,FALSE),"Merchant not found")</f>
        <v>travel</v>
      </c>
      <c r="K71" t="str">
        <f>IFERROR(VLOOKUP(C71,Merchants!$A:$D,4,FALSE),"Merchant not found")</f>
        <v>South</v>
      </c>
    </row>
    <row r="72" spans="1:11" x14ac:dyDescent="0.35">
      <c r="A72" t="s">
        <v>209</v>
      </c>
      <c r="B72">
        <v>167</v>
      </c>
      <c r="C72">
        <v>12</v>
      </c>
      <c r="D72" t="s">
        <v>210</v>
      </c>
      <c r="E72">
        <v>499</v>
      </c>
      <c r="F72" t="s">
        <v>64</v>
      </c>
      <c r="G72" t="s">
        <v>65</v>
      </c>
      <c r="H72">
        <v>62</v>
      </c>
      <c r="I72" t="str">
        <f>IFERROR(VLOOKUP(C72,Merchants!$A:$D,2,FALSE),"Merchant not found")</f>
        <v>Merchant_012</v>
      </c>
      <c r="J72" t="str">
        <f>IFERROR(VLOOKUP(C72,Merchants!$A:$D,3,FALSE),"Merchant not found")</f>
        <v>ecommerce</v>
      </c>
      <c r="K72" t="str">
        <f>IFERROR(VLOOKUP(C72,Merchants!$A:$D,4,FALSE),"Merchant not found")</f>
        <v>East</v>
      </c>
    </row>
    <row r="73" spans="1:11" x14ac:dyDescent="0.35">
      <c r="A73" t="s">
        <v>211</v>
      </c>
      <c r="B73">
        <v>133</v>
      </c>
      <c r="C73">
        <v>22</v>
      </c>
      <c r="D73" t="s">
        <v>212</v>
      </c>
      <c r="E73">
        <v>499</v>
      </c>
      <c r="F73" t="s">
        <v>68</v>
      </c>
      <c r="G73" t="s">
        <v>65</v>
      </c>
      <c r="H73">
        <v>35</v>
      </c>
      <c r="I73" t="str">
        <f>IFERROR(VLOOKUP(C73,Merchants!$A:$D,2,FALSE),"Merchant not found")</f>
        <v>Merchant_022</v>
      </c>
      <c r="J73" t="str">
        <f>IFERROR(VLOOKUP(C73,Merchants!$A:$D,3,FALSE),"Merchant not found")</f>
        <v>travel</v>
      </c>
      <c r="K73" t="str">
        <f>IFERROR(VLOOKUP(C73,Merchants!$A:$D,4,FALSE),"Merchant not found")</f>
        <v>South</v>
      </c>
    </row>
    <row r="74" spans="1:11" x14ac:dyDescent="0.35">
      <c r="A74" t="s">
        <v>213</v>
      </c>
      <c r="B74">
        <v>142</v>
      </c>
      <c r="C74">
        <v>36</v>
      </c>
      <c r="D74" t="s">
        <v>214</v>
      </c>
      <c r="E74">
        <v>799</v>
      </c>
      <c r="F74" t="s">
        <v>64</v>
      </c>
      <c r="G74" t="s">
        <v>65</v>
      </c>
      <c r="H74">
        <v>1</v>
      </c>
      <c r="I74" t="str">
        <f>IFERROR(VLOOKUP(C74,Merchants!$A:$D,2,FALSE),"Merchant not found")</f>
        <v>Merchant_036</v>
      </c>
      <c r="J74" t="str">
        <f>IFERROR(VLOOKUP(C74,Merchants!$A:$D,3,FALSE),"Merchant not found")</f>
        <v>entertainment</v>
      </c>
      <c r="K74" t="str">
        <f>IFERROR(VLOOKUP(C74,Merchants!$A:$D,4,FALSE),"Merchant not found")</f>
        <v>East</v>
      </c>
    </row>
    <row r="75" spans="1:11" x14ac:dyDescent="0.35">
      <c r="A75" t="s">
        <v>215</v>
      </c>
      <c r="B75">
        <v>124</v>
      </c>
      <c r="C75">
        <v>27</v>
      </c>
      <c r="D75" t="s">
        <v>216</v>
      </c>
      <c r="E75">
        <v>499</v>
      </c>
      <c r="F75" t="s">
        <v>64</v>
      </c>
      <c r="G75" t="s">
        <v>65</v>
      </c>
      <c r="H75">
        <v>62</v>
      </c>
      <c r="I75" t="str">
        <f>IFERROR(VLOOKUP(C75,Merchants!$A:$D,2,FALSE),"Merchant not found")</f>
        <v>Merchant_027</v>
      </c>
      <c r="J75" t="str">
        <f>IFERROR(VLOOKUP(C75,Merchants!$A:$D,3,FALSE),"Merchant not found")</f>
        <v>ecommerce</v>
      </c>
      <c r="K75" t="str">
        <f>IFERROR(VLOOKUP(C75,Merchants!$A:$D,4,FALSE),"Merchant not found")</f>
        <v>North</v>
      </c>
    </row>
    <row r="76" spans="1:11" x14ac:dyDescent="0.35">
      <c r="A76" t="s">
        <v>217</v>
      </c>
      <c r="B76">
        <v>244</v>
      </c>
      <c r="C76">
        <v>32</v>
      </c>
      <c r="D76" t="s">
        <v>218</v>
      </c>
      <c r="E76">
        <v>149</v>
      </c>
      <c r="F76" t="s">
        <v>68</v>
      </c>
      <c r="G76" t="s">
        <v>65</v>
      </c>
      <c r="H76">
        <v>57</v>
      </c>
      <c r="I76" t="str">
        <f>IFERROR(VLOOKUP(C76,Merchants!$A:$D,2,FALSE),"Merchant not found")</f>
        <v>Merchant_032</v>
      </c>
      <c r="J76" t="str">
        <f>IFERROR(VLOOKUP(C76,Merchants!$A:$D,3,FALSE),"Merchant not found")</f>
        <v>food_delivery</v>
      </c>
      <c r="K76" t="str">
        <f>IFERROR(VLOOKUP(C76,Merchants!$A:$D,4,FALSE),"Merchant not found")</f>
        <v>West</v>
      </c>
    </row>
    <row r="77" spans="1:11" x14ac:dyDescent="0.35">
      <c r="A77" t="s">
        <v>219</v>
      </c>
      <c r="B77">
        <v>151</v>
      </c>
      <c r="C77">
        <v>15</v>
      </c>
      <c r="D77" t="s">
        <v>220</v>
      </c>
      <c r="E77">
        <v>4999</v>
      </c>
      <c r="F77" t="s">
        <v>68</v>
      </c>
      <c r="G77" t="s">
        <v>65</v>
      </c>
      <c r="H77">
        <v>51</v>
      </c>
      <c r="I77" t="str">
        <f>IFERROR(VLOOKUP(C77,Merchants!$A:$D,2,FALSE),"Merchant not found")</f>
        <v>Merchant_015</v>
      </c>
      <c r="J77" t="str">
        <f>IFERROR(VLOOKUP(C77,Merchants!$A:$D,3,FALSE),"Merchant not found")</f>
        <v>travel</v>
      </c>
      <c r="K77" t="str">
        <f>IFERROR(VLOOKUP(C77,Merchants!$A:$D,4,FALSE),"Merchant not found")</f>
        <v>North</v>
      </c>
    </row>
    <row r="78" spans="1:11" x14ac:dyDescent="0.35">
      <c r="A78" t="s">
        <v>221</v>
      </c>
      <c r="B78">
        <v>340</v>
      </c>
      <c r="C78">
        <v>38</v>
      </c>
      <c r="D78" t="s">
        <v>222</v>
      </c>
      <c r="E78">
        <v>499</v>
      </c>
      <c r="F78" t="s">
        <v>90</v>
      </c>
      <c r="G78" t="s">
        <v>65</v>
      </c>
      <c r="H78">
        <v>47</v>
      </c>
      <c r="I78" t="str">
        <f>IFERROR(VLOOKUP(C78,Merchants!$A:$D,2,FALSE),"Merchant not found")</f>
        <v>Merchant_038</v>
      </c>
      <c r="J78" t="str">
        <f>IFERROR(VLOOKUP(C78,Merchants!$A:$D,3,FALSE),"Merchant not found")</f>
        <v>grocery</v>
      </c>
      <c r="K78" t="str">
        <f>IFERROR(VLOOKUP(C78,Merchants!$A:$D,4,FALSE),"Merchant not found")</f>
        <v>East</v>
      </c>
    </row>
    <row r="79" spans="1:11" x14ac:dyDescent="0.35">
      <c r="A79" t="s">
        <v>223</v>
      </c>
      <c r="B79">
        <v>177</v>
      </c>
      <c r="C79">
        <v>28</v>
      </c>
      <c r="D79" t="s">
        <v>224</v>
      </c>
      <c r="E79">
        <v>299</v>
      </c>
      <c r="F79" t="s">
        <v>68</v>
      </c>
      <c r="G79" t="s">
        <v>65</v>
      </c>
      <c r="H79">
        <v>95</v>
      </c>
      <c r="I79" t="str">
        <f>IFERROR(VLOOKUP(C79,Merchants!$A:$D,2,FALSE),"Merchant not found")</f>
        <v>Merchant_028</v>
      </c>
      <c r="J79" t="str">
        <f>IFERROR(VLOOKUP(C79,Merchants!$A:$D,3,FALSE),"Merchant not found")</f>
        <v>ecommerce</v>
      </c>
      <c r="K79" t="str">
        <f>IFERROR(VLOOKUP(C79,Merchants!$A:$D,4,FALSE),"Merchant not found")</f>
        <v>South</v>
      </c>
    </row>
    <row r="80" spans="1:11" x14ac:dyDescent="0.35">
      <c r="A80" t="s">
        <v>225</v>
      </c>
      <c r="B80">
        <v>233</v>
      </c>
      <c r="C80">
        <v>18</v>
      </c>
      <c r="D80" t="s">
        <v>226</v>
      </c>
      <c r="E80">
        <v>499</v>
      </c>
      <c r="F80" t="s">
        <v>68</v>
      </c>
      <c r="G80" t="s">
        <v>65</v>
      </c>
      <c r="H80">
        <v>39</v>
      </c>
      <c r="I80" t="str">
        <f>IFERROR(VLOOKUP(C80,Merchants!$A:$D,2,FALSE),"Merchant not found")</f>
        <v>Merchant_018</v>
      </c>
      <c r="J80" t="str">
        <f>IFERROR(VLOOKUP(C80,Merchants!$A:$D,3,FALSE),"Merchant not found")</f>
        <v>grocery</v>
      </c>
      <c r="K80" t="str">
        <f>IFERROR(VLOOKUP(C80,Merchants!$A:$D,4,FALSE),"Merchant not found")</f>
        <v>West</v>
      </c>
    </row>
    <row r="81" spans="1:11" x14ac:dyDescent="0.35">
      <c r="A81" t="s">
        <v>227</v>
      </c>
      <c r="B81">
        <v>99</v>
      </c>
      <c r="C81">
        <v>21</v>
      </c>
      <c r="D81" t="s">
        <v>228</v>
      </c>
      <c r="E81">
        <v>499</v>
      </c>
      <c r="F81" t="s">
        <v>68</v>
      </c>
      <c r="G81" t="s">
        <v>65</v>
      </c>
      <c r="H81">
        <v>15</v>
      </c>
      <c r="I81" t="str">
        <f>IFERROR(VLOOKUP(C81,Merchants!$A:$D,2,FALSE),"Merchant not found")</f>
        <v>Merchant_021</v>
      </c>
      <c r="J81" t="str">
        <f>IFERROR(VLOOKUP(C81,Merchants!$A:$D,3,FALSE),"Merchant not found")</f>
        <v>food_delivery</v>
      </c>
      <c r="K81" t="str">
        <f>IFERROR(VLOOKUP(C81,Merchants!$A:$D,4,FALSE),"Merchant not found")</f>
        <v>East</v>
      </c>
    </row>
    <row r="82" spans="1:11" x14ac:dyDescent="0.35">
      <c r="A82" t="s">
        <v>229</v>
      </c>
      <c r="B82">
        <v>95</v>
      </c>
      <c r="C82">
        <v>13</v>
      </c>
      <c r="D82" t="s">
        <v>230</v>
      </c>
      <c r="E82">
        <v>2999</v>
      </c>
      <c r="F82" t="s">
        <v>73</v>
      </c>
      <c r="G82" t="s">
        <v>91</v>
      </c>
      <c r="H82">
        <v>27</v>
      </c>
      <c r="I82" t="str">
        <f>IFERROR(VLOOKUP(C82,Merchants!$A:$D,2,FALSE),"Merchant not found")</f>
        <v>Merchant_013</v>
      </c>
      <c r="J82" t="str">
        <f>IFERROR(VLOOKUP(C82,Merchants!$A:$D,3,FALSE),"Merchant not found")</f>
        <v>travel</v>
      </c>
      <c r="K82" t="str">
        <f>IFERROR(VLOOKUP(C82,Merchants!$A:$D,4,FALSE),"Merchant not found")</f>
        <v>East</v>
      </c>
    </row>
    <row r="83" spans="1:11" x14ac:dyDescent="0.35">
      <c r="A83" t="s">
        <v>231</v>
      </c>
      <c r="B83">
        <v>302</v>
      </c>
      <c r="C83">
        <v>34</v>
      </c>
      <c r="D83" t="s">
        <v>232</v>
      </c>
      <c r="E83">
        <v>49</v>
      </c>
      <c r="F83" t="s">
        <v>73</v>
      </c>
      <c r="G83" t="s">
        <v>65</v>
      </c>
      <c r="H83">
        <v>76</v>
      </c>
      <c r="I83" t="str">
        <f>IFERROR(VLOOKUP(C83,Merchants!$A:$D,2,FALSE),"Merchant not found")</f>
        <v>Merchant_034</v>
      </c>
      <c r="J83" t="str">
        <f>IFERROR(VLOOKUP(C83,Merchants!$A:$D,3,FALSE),"Merchant not found")</f>
        <v>travel</v>
      </c>
      <c r="K83" t="str">
        <f>IFERROR(VLOOKUP(C83,Merchants!$A:$D,4,FALSE),"Merchant not found")</f>
        <v>South</v>
      </c>
    </row>
    <row r="84" spans="1:11" x14ac:dyDescent="0.35">
      <c r="A84" t="s">
        <v>233</v>
      </c>
      <c r="B84">
        <v>100</v>
      </c>
      <c r="C84">
        <v>19</v>
      </c>
      <c r="D84" t="s">
        <v>234</v>
      </c>
      <c r="E84">
        <v>2999</v>
      </c>
      <c r="F84" t="s">
        <v>73</v>
      </c>
      <c r="G84" t="s">
        <v>65</v>
      </c>
      <c r="H84">
        <v>29</v>
      </c>
      <c r="I84" t="str">
        <f>IFERROR(VLOOKUP(C84,Merchants!$A:$D,2,FALSE),"Merchant not found")</f>
        <v>Merchant_019</v>
      </c>
      <c r="J84" t="str">
        <f>IFERROR(VLOOKUP(C84,Merchants!$A:$D,3,FALSE),"Merchant not found")</f>
        <v>grocery</v>
      </c>
      <c r="K84" t="str">
        <f>IFERROR(VLOOKUP(C84,Merchants!$A:$D,4,FALSE),"Merchant not found")</f>
        <v>North</v>
      </c>
    </row>
    <row r="85" spans="1:11" x14ac:dyDescent="0.35">
      <c r="A85" t="s">
        <v>235</v>
      </c>
      <c r="B85">
        <v>8</v>
      </c>
      <c r="C85">
        <v>35</v>
      </c>
      <c r="D85" t="s">
        <v>236</v>
      </c>
      <c r="E85">
        <v>99</v>
      </c>
      <c r="F85" t="s">
        <v>68</v>
      </c>
      <c r="G85" t="s">
        <v>65</v>
      </c>
      <c r="H85">
        <v>16</v>
      </c>
      <c r="I85" t="str">
        <f>IFERROR(VLOOKUP(C85,Merchants!$A:$D,2,FALSE),"Merchant not found")</f>
        <v>Merchant_035</v>
      </c>
      <c r="J85" t="str">
        <f>IFERROR(VLOOKUP(C85,Merchants!$A:$D,3,FALSE),"Merchant not found")</f>
        <v>recharge</v>
      </c>
      <c r="K85" t="str">
        <f>IFERROR(VLOOKUP(C85,Merchants!$A:$D,4,FALSE),"Merchant not found")</f>
        <v>East</v>
      </c>
    </row>
    <row r="86" spans="1:11" x14ac:dyDescent="0.35">
      <c r="A86" t="s">
        <v>237</v>
      </c>
      <c r="B86">
        <v>284</v>
      </c>
      <c r="C86">
        <v>19</v>
      </c>
      <c r="D86" t="s">
        <v>238</v>
      </c>
      <c r="E86">
        <v>99</v>
      </c>
      <c r="F86" t="s">
        <v>68</v>
      </c>
      <c r="G86" t="s">
        <v>65</v>
      </c>
      <c r="H86">
        <v>89</v>
      </c>
      <c r="I86" t="str">
        <f>IFERROR(VLOOKUP(C86,Merchants!$A:$D,2,FALSE),"Merchant not found")</f>
        <v>Merchant_019</v>
      </c>
      <c r="J86" t="str">
        <f>IFERROR(VLOOKUP(C86,Merchants!$A:$D,3,FALSE),"Merchant not found")</f>
        <v>grocery</v>
      </c>
      <c r="K86" t="str">
        <f>IFERROR(VLOOKUP(C86,Merchants!$A:$D,4,FALSE),"Merchant not found")</f>
        <v>North</v>
      </c>
    </row>
    <row r="87" spans="1:11" x14ac:dyDescent="0.35">
      <c r="A87" t="s">
        <v>239</v>
      </c>
      <c r="B87">
        <v>252</v>
      </c>
      <c r="C87">
        <v>7</v>
      </c>
      <c r="D87" t="s">
        <v>240</v>
      </c>
      <c r="E87">
        <v>2999</v>
      </c>
      <c r="F87" t="s">
        <v>64</v>
      </c>
      <c r="G87" t="s">
        <v>65</v>
      </c>
      <c r="H87">
        <v>1</v>
      </c>
      <c r="I87" t="str">
        <f>IFERROR(VLOOKUP(C87,Merchants!$A:$D,2,FALSE),"Merchant not found")</f>
        <v>Merchant_007</v>
      </c>
      <c r="J87" t="str">
        <f>IFERROR(VLOOKUP(C87,Merchants!$A:$D,3,FALSE),"Merchant not found")</f>
        <v>food_delivery</v>
      </c>
      <c r="K87" t="str">
        <f>IFERROR(VLOOKUP(C87,Merchants!$A:$D,4,FALSE),"Merchant not found")</f>
        <v>East</v>
      </c>
    </row>
    <row r="88" spans="1:11" x14ac:dyDescent="0.35">
      <c r="A88" t="s">
        <v>241</v>
      </c>
      <c r="B88">
        <v>246</v>
      </c>
      <c r="C88">
        <v>29</v>
      </c>
      <c r="D88" t="s">
        <v>242</v>
      </c>
      <c r="E88">
        <v>49</v>
      </c>
      <c r="F88" t="s">
        <v>64</v>
      </c>
      <c r="G88" t="s">
        <v>65</v>
      </c>
      <c r="H88">
        <v>43</v>
      </c>
      <c r="I88" t="str">
        <f>IFERROR(VLOOKUP(C88,Merchants!$A:$D,2,FALSE),"Merchant not found")</f>
        <v>Merchant_029</v>
      </c>
      <c r="J88" t="str">
        <f>IFERROR(VLOOKUP(C88,Merchants!$A:$D,3,FALSE),"Merchant not found")</f>
        <v>ecommerce</v>
      </c>
      <c r="K88" t="str">
        <f>IFERROR(VLOOKUP(C88,Merchants!$A:$D,4,FALSE),"Merchant not found")</f>
        <v>North</v>
      </c>
    </row>
    <row r="89" spans="1:11" x14ac:dyDescent="0.35">
      <c r="A89" t="s">
        <v>243</v>
      </c>
      <c r="B89">
        <v>245</v>
      </c>
      <c r="C89">
        <v>8</v>
      </c>
      <c r="D89" t="s">
        <v>244</v>
      </c>
      <c r="E89">
        <v>49</v>
      </c>
      <c r="F89" t="s">
        <v>68</v>
      </c>
      <c r="G89" t="s">
        <v>116</v>
      </c>
      <c r="H89">
        <v>8</v>
      </c>
      <c r="I89" t="str">
        <f>IFERROR(VLOOKUP(C89,Merchants!$A:$D,2,FALSE),"Merchant not found")</f>
        <v>Merchant_008</v>
      </c>
      <c r="J89" t="str">
        <f>IFERROR(VLOOKUP(C89,Merchants!$A:$D,3,FALSE),"Merchant not found")</f>
        <v>food_delivery</v>
      </c>
      <c r="K89" t="str">
        <f>IFERROR(VLOOKUP(C89,Merchants!$A:$D,4,FALSE),"Merchant not found")</f>
        <v>North</v>
      </c>
    </row>
    <row r="90" spans="1:11" x14ac:dyDescent="0.35">
      <c r="A90" t="s">
        <v>245</v>
      </c>
      <c r="B90">
        <v>296</v>
      </c>
      <c r="C90">
        <v>4</v>
      </c>
      <c r="D90" t="s">
        <v>246</v>
      </c>
      <c r="E90">
        <v>799</v>
      </c>
      <c r="F90" t="s">
        <v>64</v>
      </c>
      <c r="G90" t="s">
        <v>65</v>
      </c>
      <c r="H90">
        <v>19</v>
      </c>
      <c r="I90" t="str">
        <f>IFERROR(VLOOKUP(C90,Merchants!$A:$D,2,FALSE),"Merchant not found")</f>
        <v>Merchant_004</v>
      </c>
      <c r="J90" t="str">
        <f>IFERROR(VLOOKUP(C90,Merchants!$A:$D,3,FALSE),"Merchant not found")</f>
        <v>ecommerce</v>
      </c>
      <c r="K90" t="str">
        <f>IFERROR(VLOOKUP(C90,Merchants!$A:$D,4,FALSE),"Merchant not found")</f>
        <v>East</v>
      </c>
    </row>
    <row r="91" spans="1:11" x14ac:dyDescent="0.35">
      <c r="A91" t="s">
        <v>247</v>
      </c>
      <c r="B91">
        <v>44</v>
      </c>
      <c r="C91">
        <v>16</v>
      </c>
      <c r="D91" t="s">
        <v>248</v>
      </c>
      <c r="E91">
        <v>149</v>
      </c>
      <c r="F91" t="s">
        <v>68</v>
      </c>
      <c r="G91" t="s">
        <v>65</v>
      </c>
      <c r="H91">
        <v>15</v>
      </c>
      <c r="I91" t="str">
        <f>IFERROR(VLOOKUP(C91,Merchants!$A:$D,2,FALSE),"Merchant not found")</f>
        <v>Merchant_016</v>
      </c>
      <c r="J91" t="str">
        <f>IFERROR(VLOOKUP(C91,Merchants!$A:$D,3,FALSE),"Merchant not found")</f>
        <v>bill_payment</v>
      </c>
      <c r="K91" t="str">
        <f>IFERROR(VLOOKUP(C91,Merchants!$A:$D,4,FALSE),"Merchant not found")</f>
        <v>West</v>
      </c>
    </row>
    <row r="92" spans="1:11" x14ac:dyDescent="0.35">
      <c r="A92" t="s">
        <v>249</v>
      </c>
      <c r="B92">
        <v>306</v>
      </c>
      <c r="C92">
        <v>40</v>
      </c>
      <c r="D92" t="s">
        <v>250</v>
      </c>
      <c r="E92">
        <v>799</v>
      </c>
      <c r="F92" t="s">
        <v>90</v>
      </c>
      <c r="G92" t="s">
        <v>65</v>
      </c>
      <c r="H92">
        <v>28</v>
      </c>
      <c r="I92" t="str">
        <f>IFERROR(VLOOKUP(C92,Merchants!$A:$D,2,FALSE),"Merchant not found")</f>
        <v>Merchant_040</v>
      </c>
      <c r="J92" t="str">
        <f>IFERROR(VLOOKUP(C92,Merchants!$A:$D,3,FALSE),"Merchant not found")</f>
        <v>entertainment</v>
      </c>
      <c r="K92" t="str">
        <f>IFERROR(VLOOKUP(C92,Merchants!$A:$D,4,FALSE),"Merchant not found")</f>
        <v>South</v>
      </c>
    </row>
    <row r="93" spans="1:11" x14ac:dyDescent="0.35">
      <c r="A93" t="s">
        <v>251</v>
      </c>
      <c r="B93">
        <v>231</v>
      </c>
      <c r="C93">
        <v>29</v>
      </c>
      <c r="D93" t="s">
        <v>252</v>
      </c>
      <c r="E93">
        <v>299</v>
      </c>
      <c r="F93" t="s">
        <v>68</v>
      </c>
      <c r="G93" t="s">
        <v>65</v>
      </c>
      <c r="H93">
        <v>38</v>
      </c>
      <c r="I93" t="str">
        <f>IFERROR(VLOOKUP(C93,Merchants!$A:$D,2,FALSE),"Merchant not found")</f>
        <v>Merchant_029</v>
      </c>
      <c r="J93" t="str">
        <f>IFERROR(VLOOKUP(C93,Merchants!$A:$D,3,FALSE),"Merchant not found")</f>
        <v>ecommerce</v>
      </c>
      <c r="K93" t="str">
        <f>IFERROR(VLOOKUP(C93,Merchants!$A:$D,4,FALSE),"Merchant not found")</f>
        <v>North</v>
      </c>
    </row>
    <row r="94" spans="1:11" x14ac:dyDescent="0.35">
      <c r="A94" t="s">
        <v>253</v>
      </c>
      <c r="B94">
        <v>157</v>
      </c>
      <c r="C94">
        <v>37</v>
      </c>
      <c r="D94" t="s">
        <v>254</v>
      </c>
      <c r="E94">
        <v>499</v>
      </c>
      <c r="F94" t="s">
        <v>64</v>
      </c>
      <c r="G94" t="s">
        <v>65</v>
      </c>
      <c r="H94">
        <v>79</v>
      </c>
      <c r="I94" t="str">
        <f>IFERROR(VLOOKUP(C94,Merchants!$A:$D,2,FALSE),"Merchant not found")</f>
        <v>Merchant_037</v>
      </c>
      <c r="J94" t="str">
        <f>IFERROR(VLOOKUP(C94,Merchants!$A:$D,3,FALSE),"Merchant not found")</f>
        <v>entertainment</v>
      </c>
      <c r="K94" t="str">
        <f>IFERROR(VLOOKUP(C94,Merchants!$A:$D,4,FALSE),"Merchant not found")</f>
        <v>South</v>
      </c>
    </row>
    <row r="95" spans="1:11" x14ac:dyDescent="0.35">
      <c r="A95" t="s">
        <v>255</v>
      </c>
      <c r="B95">
        <v>51</v>
      </c>
      <c r="C95">
        <v>14</v>
      </c>
      <c r="D95" t="s">
        <v>256</v>
      </c>
      <c r="E95">
        <v>1499</v>
      </c>
      <c r="F95" t="s">
        <v>68</v>
      </c>
      <c r="G95" t="s">
        <v>65</v>
      </c>
      <c r="H95">
        <v>80</v>
      </c>
      <c r="I95" t="str">
        <f>IFERROR(VLOOKUP(C95,Merchants!$A:$D,2,FALSE),"Merchant not found")</f>
        <v>Merchant_014</v>
      </c>
      <c r="J95" t="str">
        <f>IFERROR(VLOOKUP(C95,Merchants!$A:$D,3,FALSE),"Merchant not found")</f>
        <v>grocery</v>
      </c>
      <c r="K95" t="str">
        <f>IFERROR(VLOOKUP(C95,Merchants!$A:$D,4,FALSE),"Merchant not found")</f>
        <v>East</v>
      </c>
    </row>
    <row r="96" spans="1:11" x14ac:dyDescent="0.35">
      <c r="A96" t="s">
        <v>257</v>
      </c>
      <c r="B96">
        <v>42</v>
      </c>
      <c r="C96">
        <v>11</v>
      </c>
      <c r="D96" t="s">
        <v>258</v>
      </c>
      <c r="E96">
        <v>49</v>
      </c>
      <c r="F96" t="s">
        <v>64</v>
      </c>
      <c r="G96" t="s">
        <v>65</v>
      </c>
      <c r="H96">
        <v>30</v>
      </c>
      <c r="I96" t="str">
        <f>IFERROR(VLOOKUP(C96,Merchants!$A:$D,2,FALSE),"Merchant not found")</f>
        <v>Merchant_011</v>
      </c>
      <c r="J96" t="str">
        <f>IFERROR(VLOOKUP(C96,Merchants!$A:$D,3,FALSE),"Merchant not found")</f>
        <v>ecommerce</v>
      </c>
      <c r="K96" t="str">
        <f>IFERROR(VLOOKUP(C96,Merchants!$A:$D,4,FALSE),"Merchant not found")</f>
        <v>North</v>
      </c>
    </row>
    <row r="97" spans="1:11" x14ac:dyDescent="0.35">
      <c r="A97" t="s">
        <v>259</v>
      </c>
      <c r="B97">
        <v>81</v>
      </c>
      <c r="C97">
        <v>1</v>
      </c>
      <c r="D97" t="s">
        <v>260</v>
      </c>
      <c r="E97">
        <v>149</v>
      </c>
      <c r="F97" t="s">
        <v>68</v>
      </c>
      <c r="G97" t="s">
        <v>65</v>
      </c>
      <c r="H97">
        <v>52</v>
      </c>
      <c r="I97" t="str">
        <f>IFERROR(VLOOKUP(C97,Merchants!$A:$D,2,FALSE),"Merchant not found")</f>
        <v>Merchant_001</v>
      </c>
      <c r="J97" t="str">
        <f>IFERROR(VLOOKUP(C97,Merchants!$A:$D,3,FALSE),"Merchant not found")</f>
        <v>ecommerce</v>
      </c>
      <c r="K97" t="str">
        <f>IFERROR(VLOOKUP(C97,Merchants!$A:$D,4,FALSE),"Merchant not found")</f>
        <v>South</v>
      </c>
    </row>
    <row r="98" spans="1:11" x14ac:dyDescent="0.35">
      <c r="A98" t="s">
        <v>261</v>
      </c>
      <c r="B98">
        <v>241</v>
      </c>
      <c r="C98">
        <v>19</v>
      </c>
      <c r="D98" t="s">
        <v>262</v>
      </c>
      <c r="E98">
        <v>299</v>
      </c>
      <c r="F98" t="s">
        <v>68</v>
      </c>
      <c r="G98" t="s">
        <v>65</v>
      </c>
      <c r="H98">
        <v>4</v>
      </c>
      <c r="I98" t="str">
        <f>IFERROR(VLOOKUP(C98,Merchants!$A:$D,2,FALSE),"Merchant not found")</f>
        <v>Merchant_019</v>
      </c>
      <c r="J98" t="str">
        <f>IFERROR(VLOOKUP(C98,Merchants!$A:$D,3,FALSE),"Merchant not found")</f>
        <v>grocery</v>
      </c>
      <c r="K98" t="str">
        <f>IFERROR(VLOOKUP(C98,Merchants!$A:$D,4,FALSE),"Merchant not found")</f>
        <v>North</v>
      </c>
    </row>
    <row r="99" spans="1:11" x14ac:dyDescent="0.35">
      <c r="A99" t="s">
        <v>263</v>
      </c>
      <c r="B99">
        <v>145</v>
      </c>
      <c r="C99">
        <v>30</v>
      </c>
      <c r="D99" t="s">
        <v>264</v>
      </c>
      <c r="E99">
        <v>799</v>
      </c>
      <c r="F99" t="s">
        <v>68</v>
      </c>
      <c r="G99" t="s">
        <v>65</v>
      </c>
      <c r="H99">
        <v>9</v>
      </c>
      <c r="I99" t="str">
        <f>IFERROR(VLOOKUP(C99,Merchants!$A:$D,2,FALSE),"Merchant not found")</f>
        <v>Merchant_030</v>
      </c>
      <c r="J99" t="str">
        <f>IFERROR(VLOOKUP(C99,Merchants!$A:$D,3,FALSE),"Merchant not found")</f>
        <v>travel</v>
      </c>
      <c r="K99" t="str">
        <f>IFERROR(VLOOKUP(C99,Merchants!$A:$D,4,FALSE),"Merchant not found")</f>
        <v>West</v>
      </c>
    </row>
    <row r="100" spans="1:11" x14ac:dyDescent="0.35">
      <c r="A100" t="s">
        <v>265</v>
      </c>
      <c r="B100">
        <v>136</v>
      </c>
      <c r="C100">
        <v>38</v>
      </c>
      <c r="D100" t="s">
        <v>266</v>
      </c>
      <c r="E100">
        <v>299</v>
      </c>
      <c r="F100" t="s">
        <v>90</v>
      </c>
      <c r="G100" t="s">
        <v>65</v>
      </c>
      <c r="H100">
        <v>84</v>
      </c>
      <c r="I100" t="str">
        <f>IFERROR(VLOOKUP(C100,Merchants!$A:$D,2,FALSE),"Merchant not found")</f>
        <v>Merchant_038</v>
      </c>
      <c r="J100" t="str">
        <f>IFERROR(VLOOKUP(C100,Merchants!$A:$D,3,FALSE),"Merchant not found")</f>
        <v>grocery</v>
      </c>
      <c r="K100" t="str">
        <f>IFERROR(VLOOKUP(C100,Merchants!$A:$D,4,FALSE),"Merchant not found")</f>
        <v>East</v>
      </c>
    </row>
    <row r="101" spans="1:11" x14ac:dyDescent="0.35">
      <c r="A101" t="s">
        <v>267</v>
      </c>
      <c r="B101">
        <v>59</v>
      </c>
      <c r="C101">
        <v>35</v>
      </c>
      <c r="D101" t="s">
        <v>268</v>
      </c>
      <c r="E101">
        <v>499</v>
      </c>
      <c r="F101" t="s">
        <v>68</v>
      </c>
      <c r="G101" t="s">
        <v>65</v>
      </c>
      <c r="H101">
        <v>28</v>
      </c>
      <c r="I101" t="str">
        <f>IFERROR(VLOOKUP(C101,Merchants!$A:$D,2,FALSE),"Merchant not found")</f>
        <v>Merchant_035</v>
      </c>
      <c r="J101" t="str">
        <f>IFERROR(VLOOKUP(C101,Merchants!$A:$D,3,FALSE),"Merchant not found")</f>
        <v>recharge</v>
      </c>
      <c r="K101" t="str">
        <f>IFERROR(VLOOKUP(C101,Merchants!$A:$D,4,FALSE),"Merchant not found")</f>
        <v>East</v>
      </c>
    </row>
    <row r="102" spans="1:11" x14ac:dyDescent="0.35">
      <c r="A102" t="s">
        <v>269</v>
      </c>
      <c r="B102">
        <v>137</v>
      </c>
      <c r="C102">
        <v>10</v>
      </c>
      <c r="D102" t="s">
        <v>270</v>
      </c>
      <c r="E102">
        <v>299</v>
      </c>
      <c r="F102" t="s">
        <v>68</v>
      </c>
      <c r="G102" t="s">
        <v>65</v>
      </c>
      <c r="H102">
        <v>9</v>
      </c>
      <c r="I102" t="str">
        <f>IFERROR(VLOOKUP(C102,Merchants!$A:$D,2,FALSE),"Merchant not found")</f>
        <v>Merchant_010</v>
      </c>
      <c r="J102" t="str">
        <f>IFERROR(VLOOKUP(C102,Merchants!$A:$D,3,FALSE),"Merchant not found")</f>
        <v>grocery</v>
      </c>
      <c r="K102" t="str">
        <f>IFERROR(VLOOKUP(C102,Merchants!$A:$D,4,FALSE),"Merchant not found")</f>
        <v>West</v>
      </c>
    </row>
    <row r="103" spans="1:11" x14ac:dyDescent="0.35">
      <c r="A103" t="s">
        <v>271</v>
      </c>
      <c r="B103">
        <v>158</v>
      </c>
      <c r="C103">
        <v>39</v>
      </c>
      <c r="D103" t="s">
        <v>272</v>
      </c>
      <c r="E103">
        <v>499</v>
      </c>
      <c r="F103" t="s">
        <v>73</v>
      </c>
      <c r="G103" t="s">
        <v>65</v>
      </c>
      <c r="H103">
        <v>95</v>
      </c>
      <c r="I103" t="str">
        <f>IFERROR(VLOOKUP(C103,Merchants!$A:$D,2,FALSE),"Merchant not found")</f>
        <v>Merchant_039</v>
      </c>
      <c r="J103" t="str">
        <f>IFERROR(VLOOKUP(C103,Merchants!$A:$D,3,FALSE),"Merchant not found")</f>
        <v>entertainment</v>
      </c>
      <c r="K103" t="str">
        <f>IFERROR(VLOOKUP(C103,Merchants!$A:$D,4,FALSE),"Merchant not found")</f>
        <v>North</v>
      </c>
    </row>
    <row r="104" spans="1:11" x14ac:dyDescent="0.35">
      <c r="A104" t="s">
        <v>273</v>
      </c>
      <c r="B104">
        <v>148</v>
      </c>
      <c r="C104">
        <v>29</v>
      </c>
      <c r="D104" t="s">
        <v>274</v>
      </c>
      <c r="E104">
        <v>99</v>
      </c>
      <c r="F104" t="s">
        <v>90</v>
      </c>
      <c r="G104" t="s">
        <v>65</v>
      </c>
      <c r="H104">
        <v>15</v>
      </c>
      <c r="I104" t="str">
        <f>IFERROR(VLOOKUP(C104,Merchants!$A:$D,2,FALSE),"Merchant not found")</f>
        <v>Merchant_029</v>
      </c>
      <c r="J104" t="str">
        <f>IFERROR(VLOOKUP(C104,Merchants!$A:$D,3,FALSE),"Merchant not found")</f>
        <v>ecommerce</v>
      </c>
      <c r="K104" t="str">
        <f>IFERROR(VLOOKUP(C104,Merchants!$A:$D,4,FALSE),"Merchant not found")</f>
        <v>North</v>
      </c>
    </row>
    <row r="105" spans="1:11" x14ac:dyDescent="0.35">
      <c r="A105" t="s">
        <v>275</v>
      </c>
      <c r="B105">
        <v>207</v>
      </c>
      <c r="C105">
        <v>18</v>
      </c>
      <c r="D105" t="s">
        <v>276</v>
      </c>
      <c r="E105">
        <v>149</v>
      </c>
      <c r="F105" t="s">
        <v>68</v>
      </c>
      <c r="G105" t="s">
        <v>65</v>
      </c>
      <c r="H105">
        <v>64</v>
      </c>
      <c r="I105" t="str">
        <f>IFERROR(VLOOKUP(C105,Merchants!$A:$D,2,FALSE),"Merchant not found")</f>
        <v>Merchant_018</v>
      </c>
      <c r="J105" t="str">
        <f>IFERROR(VLOOKUP(C105,Merchants!$A:$D,3,FALSE),"Merchant not found")</f>
        <v>grocery</v>
      </c>
      <c r="K105" t="str">
        <f>IFERROR(VLOOKUP(C105,Merchants!$A:$D,4,FALSE),"Merchant not found")</f>
        <v>West</v>
      </c>
    </row>
    <row r="106" spans="1:11" x14ac:dyDescent="0.35">
      <c r="A106" t="s">
        <v>277</v>
      </c>
      <c r="B106">
        <v>42</v>
      </c>
      <c r="C106">
        <v>39</v>
      </c>
      <c r="D106" t="s">
        <v>278</v>
      </c>
      <c r="E106">
        <v>2999</v>
      </c>
      <c r="F106" t="s">
        <v>90</v>
      </c>
      <c r="G106" t="s">
        <v>65</v>
      </c>
      <c r="H106">
        <v>5</v>
      </c>
      <c r="I106" t="str">
        <f>IFERROR(VLOOKUP(C106,Merchants!$A:$D,2,FALSE),"Merchant not found")</f>
        <v>Merchant_039</v>
      </c>
      <c r="J106" t="str">
        <f>IFERROR(VLOOKUP(C106,Merchants!$A:$D,3,FALSE),"Merchant not found")</f>
        <v>entertainment</v>
      </c>
      <c r="K106" t="str">
        <f>IFERROR(VLOOKUP(C106,Merchants!$A:$D,4,FALSE),"Merchant not found")</f>
        <v>North</v>
      </c>
    </row>
    <row r="107" spans="1:11" x14ac:dyDescent="0.35">
      <c r="A107" t="s">
        <v>279</v>
      </c>
      <c r="B107">
        <v>166</v>
      </c>
      <c r="C107">
        <v>39</v>
      </c>
      <c r="D107" t="s">
        <v>280</v>
      </c>
      <c r="E107">
        <v>149</v>
      </c>
      <c r="F107" t="s">
        <v>68</v>
      </c>
      <c r="G107" t="s">
        <v>65</v>
      </c>
      <c r="H107">
        <v>32</v>
      </c>
      <c r="I107" t="str">
        <f>IFERROR(VLOOKUP(C107,Merchants!$A:$D,2,FALSE),"Merchant not found")</f>
        <v>Merchant_039</v>
      </c>
      <c r="J107" t="str">
        <f>IFERROR(VLOOKUP(C107,Merchants!$A:$D,3,FALSE),"Merchant not found")</f>
        <v>entertainment</v>
      </c>
      <c r="K107" t="str">
        <f>IFERROR(VLOOKUP(C107,Merchants!$A:$D,4,FALSE),"Merchant not found")</f>
        <v>North</v>
      </c>
    </row>
    <row r="108" spans="1:11" x14ac:dyDescent="0.35">
      <c r="A108" t="s">
        <v>281</v>
      </c>
      <c r="B108">
        <v>346</v>
      </c>
      <c r="C108">
        <v>37</v>
      </c>
      <c r="D108" t="s">
        <v>282</v>
      </c>
      <c r="E108">
        <v>99</v>
      </c>
      <c r="F108" t="s">
        <v>68</v>
      </c>
      <c r="G108" t="s">
        <v>65</v>
      </c>
      <c r="H108">
        <v>75</v>
      </c>
      <c r="I108" t="str">
        <f>IFERROR(VLOOKUP(C108,Merchants!$A:$D,2,FALSE),"Merchant not found")</f>
        <v>Merchant_037</v>
      </c>
      <c r="J108" t="str">
        <f>IFERROR(VLOOKUP(C108,Merchants!$A:$D,3,FALSE),"Merchant not found")</f>
        <v>entertainment</v>
      </c>
      <c r="K108" t="str">
        <f>IFERROR(VLOOKUP(C108,Merchants!$A:$D,4,FALSE),"Merchant not found")</f>
        <v>South</v>
      </c>
    </row>
    <row r="109" spans="1:11" x14ac:dyDescent="0.35">
      <c r="A109" t="s">
        <v>283</v>
      </c>
      <c r="B109">
        <v>138</v>
      </c>
      <c r="C109">
        <v>37</v>
      </c>
      <c r="D109" t="s">
        <v>284</v>
      </c>
      <c r="E109">
        <v>499</v>
      </c>
      <c r="F109" t="s">
        <v>68</v>
      </c>
      <c r="G109" t="s">
        <v>65</v>
      </c>
      <c r="H109">
        <v>5</v>
      </c>
      <c r="I109" t="str">
        <f>IFERROR(VLOOKUP(C109,Merchants!$A:$D,2,FALSE),"Merchant not found")</f>
        <v>Merchant_037</v>
      </c>
      <c r="J109" t="str">
        <f>IFERROR(VLOOKUP(C109,Merchants!$A:$D,3,FALSE),"Merchant not found")</f>
        <v>entertainment</v>
      </c>
      <c r="K109" t="str">
        <f>IFERROR(VLOOKUP(C109,Merchants!$A:$D,4,FALSE),"Merchant not found")</f>
        <v>South</v>
      </c>
    </row>
    <row r="110" spans="1:11" x14ac:dyDescent="0.35">
      <c r="A110" t="s">
        <v>285</v>
      </c>
      <c r="B110">
        <v>266</v>
      </c>
      <c r="C110">
        <v>29</v>
      </c>
      <c r="D110" t="s">
        <v>286</v>
      </c>
      <c r="E110">
        <v>499</v>
      </c>
      <c r="F110" t="s">
        <v>64</v>
      </c>
      <c r="G110" t="s">
        <v>91</v>
      </c>
      <c r="H110">
        <v>35</v>
      </c>
      <c r="I110" t="str">
        <f>IFERROR(VLOOKUP(C110,Merchants!$A:$D,2,FALSE),"Merchant not found")</f>
        <v>Merchant_029</v>
      </c>
      <c r="J110" t="str">
        <f>IFERROR(VLOOKUP(C110,Merchants!$A:$D,3,FALSE),"Merchant not found")</f>
        <v>ecommerce</v>
      </c>
      <c r="K110" t="str">
        <f>IFERROR(VLOOKUP(C110,Merchants!$A:$D,4,FALSE),"Merchant not found")</f>
        <v>North</v>
      </c>
    </row>
    <row r="111" spans="1:11" x14ac:dyDescent="0.35">
      <c r="A111" t="s">
        <v>287</v>
      </c>
      <c r="B111">
        <v>326</v>
      </c>
      <c r="C111">
        <v>32</v>
      </c>
      <c r="D111" t="s">
        <v>288</v>
      </c>
      <c r="E111">
        <v>149</v>
      </c>
      <c r="F111" t="s">
        <v>68</v>
      </c>
      <c r="G111" t="s">
        <v>65</v>
      </c>
      <c r="H111">
        <v>11</v>
      </c>
      <c r="I111" t="str">
        <f>IFERROR(VLOOKUP(C111,Merchants!$A:$D,2,FALSE),"Merchant not found")</f>
        <v>Merchant_032</v>
      </c>
      <c r="J111" t="str">
        <f>IFERROR(VLOOKUP(C111,Merchants!$A:$D,3,FALSE),"Merchant not found")</f>
        <v>food_delivery</v>
      </c>
      <c r="K111" t="str">
        <f>IFERROR(VLOOKUP(C111,Merchants!$A:$D,4,FALSE),"Merchant not found")</f>
        <v>West</v>
      </c>
    </row>
    <row r="112" spans="1:11" x14ac:dyDescent="0.35">
      <c r="A112" t="s">
        <v>289</v>
      </c>
      <c r="B112">
        <v>171</v>
      </c>
      <c r="C112">
        <v>21</v>
      </c>
      <c r="D112" t="s">
        <v>290</v>
      </c>
      <c r="E112">
        <v>799</v>
      </c>
      <c r="F112" t="s">
        <v>68</v>
      </c>
      <c r="G112" t="s">
        <v>65</v>
      </c>
      <c r="H112">
        <v>85</v>
      </c>
      <c r="I112" t="str">
        <f>IFERROR(VLOOKUP(C112,Merchants!$A:$D,2,FALSE),"Merchant not found")</f>
        <v>Merchant_021</v>
      </c>
      <c r="J112" t="str">
        <f>IFERROR(VLOOKUP(C112,Merchants!$A:$D,3,FALSE),"Merchant not found")</f>
        <v>food_delivery</v>
      </c>
      <c r="K112" t="str">
        <f>IFERROR(VLOOKUP(C112,Merchants!$A:$D,4,FALSE),"Merchant not found")</f>
        <v>East</v>
      </c>
    </row>
    <row r="113" spans="1:11" x14ac:dyDescent="0.35">
      <c r="A113" t="s">
        <v>291</v>
      </c>
      <c r="B113">
        <v>211</v>
      </c>
      <c r="C113">
        <v>32</v>
      </c>
      <c r="D113" t="s">
        <v>292</v>
      </c>
      <c r="E113">
        <v>49</v>
      </c>
      <c r="F113" t="s">
        <v>68</v>
      </c>
      <c r="G113" t="s">
        <v>65</v>
      </c>
      <c r="H113">
        <v>36</v>
      </c>
      <c r="I113" t="str">
        <f>IFERROR(VLOOKUP(C113,Merchants!$A:$D,2,FALSE),"Merchant not found")</f>
        <v>Merchant_032</v>
      </c>
      <c r="J113" t="str">
        <f>IFERROR(VLOOKUP(C113,Merchants!$A:$D,3,FALSE),"Merchant not found")</f>
        <v>food_delivery</v>
      </c>
      <c r="K113" t="str">
        <f>IFERROR(VLOOKUP(C113,Merchants!$A:$D,4,FALSE),"Merchant not found")</f>
        <v>West</v>
      </c>
    </row>
    <row r="114" spans="1:11" x14ac:dyDescent="0.35">
      <c r="A114" t="s">
        <v>293</v>
      </c>
      <c r="B114">
        <v>282</v>
      </c>
      <c r="C114">
        <v>3</v>
      </c>
      <c r="D114" t="s">
        <v>294</v>
      </c>
      <c r="E114">
        <v>499</v>
      </c>
      <c r="F114" t="s">
        <v>68</v>
      </c>
      <c r="G114" t="s">
        <v>65</v>
      </c>
      <c r="H114">
        <v>58</v>
      </c>
      <c r="I114" t="str">
        <f>IFERROR(VLOOKUP(C114,Merchants!$A:$D,2,FALSE),"Merchant not found")</f>
        <v>Merchant_003</v>
      </c>
      <c r="J114" t="str">
        <f>IFERROR(VLOOKUP(C114,Merchants!$A:$D,3,FALSE),"Merchant not found")</f>
        <v>grocery</v>
      </c>
      <c r="K114" t="str">
        <f>IFERROR(VLOOKUP(C114,Merchants!$A:$D,4,FALSE),"Merchant not found")</f>
        <v>East</v>
      </c>
    </row>
    <row r="115" spans="1:11" x14ac:dyDescent="0.35">
      <c r="A115" t="s">
        <v>295</v>
      </c>
      <c r="B115">
        <v>166</v>
      </c>
      <c r="C115">
        <v>8</v>
      </c>
      <c r="D115" t="s">
        <v>296</v>
      </c>
      <c r="E115">
        <v>299</v>
      </c>
      <c r="F115" t="s">
        <v>68</v>
      </c>
      <c r="G115" t="s">
        <v>65</v>
      </c>
      <c r="H115">
        <v>98</v>
      </c>
      <c r="I115" t="str">
        <f>IFERROR(VLOOKUP(C115,Merchants!$A:$D,2,FALSE),"Merchant not found")</f>
        <v>Merchant_008</v>
      </c>
      <c r="J115" t="str">
        <f>IFERROR(VLOOKUP(C115,Merchants!$A:$D,3,FALSE),"Merchant not found")</f>
        <v>food_delivery</v>
      </c>
      <c r="K115" t="str">
        <f>IFERROR(VLOOKUP(C115,Merchants!$A:$D,4,FALSE),"Merchant not found")</f>
        <v>North</v>
      </c>
    </row>
    <row r="116" spans="1:11" x14ac:dyDescent="0.35">
      <c r="A116" t="s">
        <v>297</v>
      </c>
      <c r="B116">
        <v>1</v>
      </c>
      <c r="C116">
        <v>35</v>
      </c>
      <c r="D116" t="s">
        <v>298</v>
      </c>
      <c r="E116">
        <v>149</v>
      </c>
      <c r="F116" t="s">
        <v>68</v>
      </c>
      <c r="G116" t="s">
        <v>65</v>
      </c>
      <c r="H116">
        <v>59</v>
      </c>
      <c r="I116" t="str">
        <f>IFERROR(VLOOKUP(C116,Merchants!$A:$D,2,FALSE),"Merchant not found")</f>
        <v>Merchant_035</v>
      </c>
      <c r="J116" t="str">
        <f>IFERROR(VLOOKUP(C116,Merchants!$A:$D,3,FALSE),"Merchant not found")</f>
        <v>recharge</v>
      </c>
      <c r="K116" t="str">
        <f>IFERROR(VLOOKUP(C116,Merchants!$A:$D,4,FALSE),"Merchant not found")</f>
        <v>East</v>
      </c>
    </row>
    <row r="117" spans="1:11" x14ac:dyDescent="0.35">
      <c r="A117" t="s">
        <v>299</v>
      </c>
      <c r="B117">
        <v>266</v>
      </c>
      <c r="C117">
        <v>24</v>
      </c>
      <c r="D117" t="s">
        <v>300</v>
      </c>
      <c r="E117">
        <v>499</v>
      </c>
      <c r="F117" t="s">
        <v>68</v>
      </c>
      <c r="G117" t="s">
        <v>65</v>
      </c>
      <c r="H117">
        <v>79</v>
      </c>
      <c r="I117" t="str">
        <f>IFERROR(VLOOKUP(C117,Merchants!$A:$D,2,FALSE),"Merchant not found")</f>
        <v>Merchant_024</v>
      </c>
      <c r="J117" t="str">
        <f>IFERROR(VLOOKUP(C117,Merchants!$A:$D,3,FALSE),"Merchant not found")</f>
        <v>grocery</v>
      </c>
      <c r="K117" t="str">
        <f>IFERROR(VLOOKUP(C117,Merchants!$A:$D,4,FALSE),"Merchant not found")</f>
        <v>North</v>
      </c>
    </row>
    <row r="118" spans="1:11" x14ac:dyDescent="0.35">
      <c r="A118" t="s">
        <v>301</v>
      </c>
      <c r="B118">
        <v>227</v>
      </c>
      <c r="C118">
        <v>4</v>
      </c>
      <c r="D118" t="s">
        <v>302</v>
      </c>
      <c r="E118">
        <v>499</v>
      </c>
      <c r="F118" t="s">
        <v>68</v>
      </c>
      <c r="G118" t="s">
        <v>65</v>
      </c>
      <c r="H118">
        <v>26</v>
      </c>
      <c r="I118" t="str">
        <f>IFERROR(VLOOKUP(C118,Merchants!$A:$D,2,FALSE),"Merchant not found")</f>
        <v>Merchant_004</v>
      </c>
      <c r="J118" t="str">
        <f>IFERROR(VLOOKUP(C118,Merchants!$A:$D,3,FALSE),"Merchant not found")</f>
        <v>ecommerce</v>
      </c>
      <c r="K118" t="str">
        <f>IFERROR(VLOOKUP(C118,Merchants!$A:$D,4,FALSE),"Merchant not found")</f>
        <v>East</v>
      </c>
    </row>
    <row r="119" spans="1:11" x14ac:dyDescent="0.35">
      <c r="A119" t="s">
        <v>303</v>
      </c>
      <c r="B119">
        <v>148</v>
      </c>
      <c r="C119">
        <v>29</v>
      </c>
      <c r="D119" t="s">
        <v>304</v>
      </c>
      <c r="E119">
        <v>499</v>
      </c>
      <c r="F119" t="s">
        <v>68</v>
      </c>
      <c r="G119" t="s">
        <v>65</v>
      </c>
      <c r="H119">
        <v>89</v>
      </c>
      <c r="I119" t="str">
        <f>IFERROR(VLOOKUP(C119,Merchants!$A:$D,2,FALSE),"Merchant not found")</f>
        <v>Merchant_029</v>
      </c>
      <c r="J119" t="str">
        <f>IFERROR(VLOOKUP(C119,Merchants!$A:$D,3,FALSE),"Merchant not found")</f>
        <v>ecommerce</v>
      </c>
      <c r="K119" t="str">
        <f>IFERROR(VLOOKUP(C119,Merchants!$A:$D,4,FALSE),"Merchant not found")</f>
        <v>North</v>
      </c>
    </row>
    <row r="120" spans="1:11" x14ac:dyDescent="0.35">
      <c r="A120" t="s">
        <v>305</v>
      </c>
      <c r="B120">
        <v>323</v>
      </c>
      <c r="C120">
        <v>39</v>
      </c>
      <c r="D120" t="s">
        <v>306</v>
      </c>
      <c r="E120">
        <v>499</v>
      </c>
      <c r="F120" t="s">
        <v>68</v>
      </c>
      <c r="G120" t="s">
        <v>65</v>
      </c>
      <c r="H120">
        <v>30</v>
      </c>
      <c r="I120" t="str">
        <f>IFERROR(VLOOKUP(C120,Merchants!$A:$D,2,FALSE),"Merchant not found")</f>
        <v>Merchant_039</v>
      </c>
      <c r="J120" t="str">
        <f>IFERROR(VLOOKUP(C120,Merchants!$A:$D,3,FALSE),"Merchant not found")</f>
        <v>entertainment</v>
      </c>
      <c r="K120" t="str">
        <f>IFERROR(VLOOKUP(C120,Merchants!$A:$D,4,FALSE),"Merchant not found")</f>
        <v>North</v>
      </c>
    </row>
    <row r="121" spans="1:11" x14ac:dyDescent="0.35">
      <c r="A121" t="s">
        <v>307</v>
      </c>
      <c r="B121">
        <v>283</v>
      </c>
      <c r="C121">
        <v>1</v>
      </c>
      <c r="D121" t="s">
        <v>308</v>
      </c>
      <c r="E121">
        <v>2999</v>
      </c>
      <c r="F121" t="s">
        <v>64</v>
      </c>
      <c r="G121" t="s">
        <v>65</v>
      </c>
      <c r="H121">
        <v>70</v>
      </c>
      <c r="I121" t="str">
        <f>IFERROR(VLOOKUP(C121,Merchants!$A:$D,2,FALSE),"Merchant not found")</f>
        <v>Merchant_001</v>
      </c>
      <c r="J121" t="str">
        <f>IFERROR(VLOOKUP(C121,Merchants!$A:$D,3,FALSE),"Merchant not found")</f>
        <v>ecommerce</v>
      </c>
      <c r="K121" t="str">
        <f>IFERROR(VLOOKUP(C121,Merchants!$A:$D,4,FALSE),"Merchant not found")</f>
        <v>South</v>
      </c>
    </row>
    <row r="122" spans="1:11" x14ac:dyDescent="0.35">
      <c r="A122" t="s">
        <v>309</v>
      </c>
      <c r="B122">
        <v>59</v>
      </c>
      <c r="C122">
        <v>30</v>
      </c>
      <c r="D122" t="s">
        <v>310</v>
      </c>
      <c r="E122">
        <v>499</v>
      </c>
      <c r="F122" t="s">
        <v>68</v>
      </c>
      <c r="G122" t="s">
        <v>65</v>
      </c>
      <c r="H122">
        <v>15</v>
      </c>
      <c r="I122" t="str">
        <f>IFERROR(VLOOKUP(C122,Merchants!$A:$D,2,FALSE),"Merchant not found")</f>
        <v>Merchant_030</v>
      </c>
      <c r="J122" t="str">
        <f>IFERROR(VLOOKUP(C122,Merchants!$A:$D,3,FALSE),"Merchant not found")</f>
        <v>travel</v>
      </c>
      <c r="K122" t="str">
        <f>IFERROR(VLOOKUP(C122,Merchants!$A:$D,4,FALSE),"Merchant not found")</f>
        <v>West</v>
      </c>
    </row>
    <row r="123" spans="1:11" x14ac:dyDescent="0.35">
      <c r="A123" t="s">
        <v>311</v>
      </c>
      <c r="B123">
        <v>150</v>
      </c>
      <c r="C123">
        <v>33</v>
      </c>
      <c r="D123" t="s">
        <v>312</v>
      </c>
      <c r="E123">
        <v>2999</v>
      </c>
      <c r="F123" t="s">
        <v>68</v>
      </c>
      <c r="G123" t="s">
        <v>65</v>
      </c>
      <c r="H123">
        <v>90</v>
      </c>
      <c r="I123" t="str">
        <f>IFERROR(VLOOKUP(C123,Merchants!$A:$D,2,FALSE),"Merchant not found")</f>
        <v>Merchant_033</v>
      </c>
      <c r="J123" t="str">
        <f>IFERROR(VLOOKUP(C123,Merchants!$A:$D,3,FALSE),"Merchant not found")</f>
        <v>bill_payment</v>
      </c>
      <c r="K123" t="str">
        <f>IFERROR(VLOOKUP(C123,Merchants!$A:$D,4,FALSE),"Merchant not found")</f>
        <v>East</v>
      </c>
    </row>
    <row r="124" spans="1:11" x14ac:dyDescent="0.35">
      <c r="A124" t="s">
        <v>313</v>
      </c>
      <c r="B124">
        <v>248</v>
      </c>
      <c r="C124">
        <v>31</v>
      </c>
      <c r="D124" t="s">
        <v>314</v>
      </c>
      <c r="E124">
        <v>1499</v>
      </c>
      <c r="F124" t="s">
        <v>68</v>
      </c>
      <c r="G124" t="s">
        <v>91</v>
      </c>
      <c r="H124">
        <v>31</v>
      </c>
      <c r="I124" t="str">
        <f>IFERROR(VLOOKUP(C124,Merchants!$A:$D,2,FALSE),"Merchant not found")</f>
        <v>Merchant_031</v>
      </c>
      <c r="J124" t="str">
        <f>IFERROR(VLOOKUP(C124,Merchants!$A:$D,3,FALSE),"Merchant not found")</f>
        <v>bill_payment</v>
      </c>
      <c r="K124" t="str">
        <f>IFERROR(VLOOKUP(C124,Merchants!$A:$D,4,FALSE),"Merchant not found")</f>
        <v>East</v>
      </c>
    </row>
    <row r="125" spans="1:11" x14ac:dyDescent="0.35">
      <c r="A125" t="s">
        <v>315</v>
      </c>
      <c r="B125">
        <v>197</v>
      </c>
      <c r="C125">
        <v>13</v>
      </c>
      <c r="D125" t="s">
        <v>316</v>
      </c>
      <c r="E125">
        <v>49</v>
      </c>
      <c r="F125" t="s">
        <v>68</v>
      </c>
      <c r="G125" t="s">
        <v>65</v>
      </c>
      <c r="H125">
        <v>76</v>
      </c>
      <c r="I125" t="str">
        <f>IFERROR(VLOOKUP(C125,Merchants!$A:$D,2,FALSE),"Merchant not found")</f>
        <v>Merchant_013</v>
      </c>
      <c r="J125" t="str">
        <f>IFERROR(VLOOKUP(C125,Merchants!$A:$D,3,FALSE),"Merchant not found")</f>
        <v>travel</v>
      </c>
      <c r="K125" t="str">
        <f>IFERROR(VLOOKUP(C125,Merchants!$A:$D,4,FALSE),"Merchant not found")</f>
        <v>East</v>
      </c>
    </row>
    <row r="126" spans="1:11" x14ac:dyDescent="0.35">
      <c r="A126" t="s">
        <v>317</v>
      </c>
      <c r="B126">
        <v>70</v>
      </c>
      <c r="C126">
        <v>5</v>
      </c>
      <c r="D126" t="s">
        <v>318</v>
      </c>
      <c r="E126">
        <v>499</v>
      </c>
      <c r="F126" t="s">
        <v>68</v>
      </c>
      <c r="G126" t="s">
        <v>65</v>
      </c>
      <c r="H126">
        <v>35</v>
      </c>
      <c r="I126" t="str">
        <f>IFERROR(VLOOKUP(C126,Merchants!$A:$D,2,FALSE),"Merchant not found")</f>
        <v>Merchant_005</v>
      </c>
      <c r="J126" t="str">
        <f>IFERROR(VLOOKUP(C126,Merchants!$A:$D,3,FALSE),"Merchant not found")</f>
        <v>recharge</v>
      </c>
      <c r="K126" t="str">
        <f>IFERROR(VLOOKUP(C126,Merchants!$A:$D,4,FALSE),"Merchant not found")</f>
        <v>South</v>
      </c>
    </row>
    <row r="127" spans="1:11" x14ac:dyDescent="0.35">
      <c r="A127" t="s">
        <v>319</v>
      </c>
      <c r="B127">
        <v>260</v>
      </c>
      <c r="C127">
        <v>18</v>
      </c>
      <c r="D127" t="s">
        <v>320</v>
      </c>
      <c r="E127">
        <v>1499</v>
      </c>
      <c r="F127" t="s">
        <v>68</v>
      </c>
      <c r="G127" t="s">
        <v>65</v>
      </c>
      <c r="H127">
        <v>0</v>
      </c>
      <c r="I127" t="str">
        <f>IFERROR(VLOOKUP(C127,Merchants!$A:$D,2,FALSE),"Merchant not found")</f>
        <v>Merchant_018</v>
      </c>
      <c r="J127" t="str">
        <f>IFERROR(VLOOKUP(C127,Merchants!$A:$D,3,FALSE),"Merchant not found")</f>
        <v>grocery</v>
      </c>
      <c r="K127" t="str">
        <f>IFERROR(VLOOKUP(C127,Merchants!$A:$D,4,FALSE),"Merchant not found")</f>
        <v>West</v>
      </c>
    </row>
    <row r="128" spans="1:11" x14ac:dyDescent="0.35">
      <c r="A128" t="s">
        <v>321</v>
      </c>
      <c r="B128">
        <v>301</v>
      </c>
      <c r="C128">
        <v>38</v>
      </c>
      <c r="D128" t="s">
        <v>322</v>
      </c>
      <c r="E128">
        <v>99</v>
      </c>
      <c r="F128" t="s">
        <v>68</v>
      </c>
      <c r="G128" t="s">
        <v>65</v>
      </c>
      <c r="H128">
        <v>84</v>
      </c>
      <c r="I128" t="str">
        <f>IFERROR(VLOOKUP(C128,Merchants!$A:$D,2,FALSE),"Merchant not found")</f>
        <v>Merchant_038</v>
      </c>
      <c r="J128" t="str">
        <f>IFERROR(VLOOKUP(C128,Merchants!$A:$D,3,FALSE),"Merchant not found")</f>
        <v>grocery</v>
      </c>
      <c r="K128" t="str">
        <f>IFERROR(VLOOKUP(C128,Merchants!$A:$D,4,FALSE),"Merchant not found")</f>
        <v>East</v>
      </c>
    </row>
    <row r="129" spans="1:11" x14ac:dyDescent="0.35">
      <c r="A129" t="s">
        <v>323</v>
      </c>
      <c r="B129">
        <v>276</v>
      </c>
      <c r="C129">
        <v>31</v>
      </c>
      <c r="D129" t="s">
        <v>324</v>
      </c>
      <c r="E129">
        <v>499</v>
      </c>
      <c r="F129" t="s">
        <v>90</v>
      </c>
      <c r="G129" t="s">
        <v>65</v>
      </c>
      <c r="H129">
        <v>44</v>
      </c>
      <c r="I129" t="str">
        <f>IFERROR(VLOOKUP(C129,Merchants!$A:$D,2,FALSE),"Merchant not found")</f>
        <v>Merchant_031</v>
      </c>
      <c r="J129" t="str">
        <f>IFERROR(VLOOKUP(C129,Merchants!$A:$D,3,FALSE),"Merchant not found")</f>
        <v>bill_payment</v>
      </c>
      <c r="K129" t="str">
        <f>IFERROR(VLOOKUP(C129,Merchants!$A:$D,4,FALSE),"Merchant not found")</f>
        <v>East</v>
      </c>
    </row>
    <row r="130" spans="1:11" x14ac:dyDescent="0.35">
      <c r="A130" t="s">
        <v>325</v>
      </c>
      <c r="B130">
        <v>279</v>
      </c>
      <c r="C130">
        <v>25</v>
      </c>
      <c r="D130" t="s">
        <v>326</v>
      </c>
      <c r="E130">
        <v>799</v>
      </c>
      <c r="F130" t="s">
        <v>68</v>
      </c>
      <c r="G130" t="s">
        <v>65</v>
      </c>
      <c r="H130">
        <v>58</v>
      </c>
      <c r="I130" t="str">
        <f>IFERROR(VLOOKUP(C130,Merchants!$A:$D,2,FALSE),"Merchant not found")</f>
        <v>Merchant_025</v>
      </c>
      <c r="J130" t="str">
        <f>IFERROR(VLOOKUP(C130,Merchants!$A:$D,3,FALSE),"Merchant not found")</f>
        <v>travel</v>
      </c>
      <c r="K130" t="str">
        <f>IFERROR(VLOOKUP(C130,Merchants!$A:$D,4,FALSE),"Merchant not found")</f>
        <v>South</v>
      </c>
    </row>
    <row r="131" spans="1:11" x14ac:dyDescent="0.35">
      <c r="A131" t="s">
        <v>327</v>
      </c>
      <c r="B131">
        <v>97</v>
      </c>
      <c r="C131">
        <v>16</v>
      </c>
      <c r="D131" t="s">
        <v>328</v>
      </c>
      <c r="E131">
        <v>799</v>
      </c>
      <c r="F131" t="s">
        <v>90</v>
      </c>
      <c r="G131" t="s">
        <v>65</v>
      </c>
      <c r="H131">
        <v>73</v>
      </c>
      <c r="I131" t="str">
        <f>IFERROR(VLOOKUP(C131,Merchants!$A:$D,2,FALSE),"Merchant not found")</f>
        <v>Merchant_016</v>
      </c>
      <c r="J131" t="str">
        <f>IFERROR(VLOOKUP(C131,Merchants!$A:$D,3,FALSE),"Merchant not found")</f>
        <v>bill_payment</v>
      </c>
      <c r="K131" t="str">
        <f>IFERROR(VLOOKUP(C131,Merchants!$A:$D,4,FALSE),"Merchant not found")</f>
        <v>West</v>
      </c>
    </row>
    <row r="132" spans="1:11" x14ac:dyDescent="0.35">
      <c r="A132" t="s">
        <v>329</v>
      </c>
      <c r="B132">
        <v>211</v>
      </c>
      <c r="C132">
        <v>3</v>
      </c>
      <c r="D132" t="s">
        <v>330</v>
      </c>
      <c r="E132">
        <v>149</v>
      </c>
      <c r="F132" t="s">
        <v>68</v>
      </c>
      <c r="G132" t="s">
        <v>116</v>
      </c>
      <c r="H132">
        <v>40</v>
      </c>
      <c r="I132" t="str">
        <f>IFERROR(VLOOKUP(C132,Merchants!$A:$D,2,FALSE),"Merchant not found")</f>
        <v>Merchant_003</v>
      </c>
      <c r="J132" t="str">
        <f>IFERROR(VLOOKUP(C132,Merchants!$A:$D,3,FALSE),"Merchant not found")</f>
        <v>grocery</v>
      </c>
      <c r="K132" t="str">
        <f>IFERROR(VLOOKUP(C132,Merchants!$A:$D,4,FALSE),"Merchant not found")</f>
        <v>East</v>
      </c>
    </row>
    <row r="133" spans="1:11" x14ac:dyDescent="0.35">
      <c r="A133" t="s">
        <v>331</v>
      </c>
      <c r="B133">
        <v>196</v>
      </c>
      <c r="C133">
        <v>25</v>
      </c>
      <c r="D133" t="s">
        <v>332</v>
      </c>
      <c r="E133">
        <v>149</v>
      </c>
      <c r="F133" t="s">
        <v>73</v>
      </c>
      <c r="G133" t="s">
        <v>65</v>
      </c>
      <c r="H133">
        <v>84</v>
      </c>
      <c r="I133" t="str">
        <f>IFERROR(VLOOKUP(C133,Merchants!$A:$D,2,FALSE),"Merchant not found")</f>
        <v>Merchant_025</v>
      </c>
      <c r="J133" t="str">
        <f>IFERROR(VLOOKUP(C133,Merchants!$A:$D,3,FALSE),"Merchant not found")</f>
        <v>travel</v>
      </c>
      <c r="K133" t="str">
        <f>IFERROR(VLOOKUP(C133,Merchants!$A:$D,4,FALSE),"Merchant not found")</f>
        <v>South</v>
      </c>
    </row>
    <row r="134" spans="1:11" x14ac:dyDescent="0.35">
      <c r="A134" t="s">
        <v>333</v>
      </c>
      <c r="B134">
        <v>254</v>
      </c>
      <c r="C134">
        <v>3</v>
      </c>
      <c r="D134" t="s">
        <v>334</v>
      </c>
      <c r="E134">
        <v>149</v>
      </c>
      <c r="F134" t="s">
        <v>90</v>
      </c>
      <c r="G134" t="s">
        <v>65</v>
      </c>
      <c r="H134">
        <v>16</v>
      </c>
      <c r="I134" t="str">
        <f>IFERROR(VLOOKUP(C134,Merchants!$A:$D,2,FALSE),"Merchant not found")</f>
        <v>Merchant_003</v>
      </c>
      <c r="J134" t="str">
        <f>IFERROR(VLOOKUP(C134,Merchants!$A:$D,3,FALSE),"Merchant not found")</f>
        <v>grocery</v>
      </c>
      <c r="K134" t="str">
        <f>IFERROR(VLOOKUP(C134,Merchants!$A:$D,4,FALSE),"Merchant not found")</f>
        <v>East</v>
      </c>
    </row>
    <row r="135" spans="1:11" x14ac:dyDescent="0.35">
      <c r="A135" t="s">
        <v>335</v>
      </c>
      <c r="B135">
        <v>52</v>
      </c>
      <c r="C135">
        <v>29</v>
      </c>
      <c r="D135" t="s">
        <v>336</v>
      </c>
      <c r="E135">
        <v>49</v>
      </c>
      <c r="F135" t="s">
        <v>73</v>
      </c>
      <c r="G135" t="s">
        <v>65</v>
      </c>
      <c r="H135">
        <v>12</v>
      </c>
      <c r="I135" t="str">
        <f>IFERROR(VLOOKUP(C135,Merchants!$A:$D,2,FALSE),"Merchant not found")</f>
        <v>Merchant_029</v>
      </c>
      <c r="J135" t="str">
        <f>IFERROR(VLOOKUP(C135,Merchants!$A:$D,3,FALSE),"Merchant not found")</f>
        <v>ecommerce</v>
      </c>
      <c r="K135" t="str">
        <f>IFERROR(VLOOKUP(C135,Merchants!$A:$D,4,FALSE),"Merchant not found")</f>
        <v>North</v>
      </c>
    </row>
    <row r="136" spans="1:11" x14ac:dyDescent="0.35">
      <c r="A136" t="s">
        <v>337</v>
      </c>
      <c r="B136">
        <v>74</v>
      </c>
      <c r="C136">
        <v>27</v>
      </c>
      <c r="D136" t="s">
        <v>338</v>
      </c>
      <c r="E136">
        <v>799</v>
      </c>
      <c r="F136" t="s">
        <v>68</v>
      </c>
      <c r="G136" t="s">
        <v>65</v>
      </c>
      <c r="H136">
        <v>83</v>
      </c>
      <c r="I136" t="str">
        <f>IFERROR(VLOOKUP(C136,Merchants!$A:$D,2,FALSE),"Merchant not found")</f>
        <v>Merchant_027</v>
      </c>
      <c r="J136" t="str">
        <f>IFERROR(VLOOKUP(C136,Merchants!$A:$D,3,FALSE),"Merchant not found")</f>
        <v>ecommerce</v>
      </c>
      <c r="K136" t="str">
        <f>IFERROR(VLOOKUP(C136,Merchants!$A:$D,4,FALSE),"Merchant not found")</f>
        <v>North</v>
      </c>
    </row>
    <row r="137" spans="1:11" x14ac:dyDescent="0.35">
      <c r="A137" t="s">
        <v>339</v>
      </c>
      <c r="B137">
        <v>136</v>
      </c>
      <c r="C137">
        <v>22</v>
      </c>
      <c r="D137" t="s">
        <v>340</v>
      </c>
      <c r="E137">
        <v>149</v>
      </c>
      <c r="F137" t="s">
        <v>68</v>
      </c>
      <c r="G137" t="s">
        <v>65</v>
      </c>
      <c r="H137">
        <v>79</v>
      </c>
      <c r="I137" t="str">
        <f>IFERROR(VLOOKUP(C137,Merchants!$A:$D,2,FALSE),"Merchant not found")</f>
        <v>Merchant_022</v>
      </c>
      <c r="J137" t="str">
        <f>IFERROR(VLOOKUP(C137,Merchants!$A:$D,3,FALSE),"Merchant not found")</f>
        <v>travel</v>
      </c>
      <c r="K137" t="str">
        <f>IFERROR(VLOOKUP(C137,Merchants!$A:$D,4,FALSE),"Merchant not found")</f>
        <v>South</v>
      </c>
    </row>
    <row r="138" spans="1:11" x14ac:dyDescent="0.35">
      <c r="A138" t="s">
        <v>341</v>
      </c>
      <c r="B138">
        <v>42</v>
      </c>
      <c r="C138">
        <v>22</v>
      </c>
      <c r="D138" t="s">
        <v>342</v>
      </c>
      <c r="E138">
        <v>49</v>
      </c>
      <c r="F138" t="s">
        <v>68</v>
      </c>
      <c r="G138" t="s">
        <v>65</v>
      </c>
      <c r="H138">
        <v>86</v>
      </c>
      <c r="I138" t="str">
        <f>IFERROR(VLOOKUP(C138,Merchants!$A:$D,2,FALSE),"Merchant not found")</f>
        <v>Merchant_022</v>
      </c>
      <c r="J138" t="str">
        <f>IFERROR(VLOOKUP(C138,Merchants!$A:$D,3,FALSE),"Merchant not found")</f>
        <v>travel</v>
      </c>
      <c r="K138" t="str">
        <f>IFERROR(VLOOKUP(C138,Merchants!$A:$D,4,FALSE),"Merchant not found")</f>
        <v>South</v>
      </c>
    </row>
    <row r="139" spans="1:11" x14ac:dyDescent="0.35">
      <c r="A139" t="s">
        <v>343</v>
      </c>
      <c r="B139">
        <v>163</v>
      </c>
      <c r="C139">
        <v>32</v>
      </c>
      <c r="D139" t="s">
        <v>344</v>
      </c>
      <c r="E139">
        <v>2999</v>
      </c>
      <c r="F139" t="s">
        <v>64</v>
      </c>
      <c r="G139" t="s">
        <v>91</v>
      </c>
      <c r="H139">
        <v>69</v>
      </c>
      <c r="I139" t="str">
        <f>IFERROR(VLOOKUP(C139,Merchants!$A:$D,2,FALSE),"Merchant not found")</f>
        <v>Merchant_032</v>
      </c>
      <c r="J139" t="str">
        <f>IFERROR(VLOOKUP(C139,Merchants!$A:$D,3,FALSE),"Merchant not found")</f>
        <v>food_delivery</v>
      </c>
      <c r="K139" t="str">
        <f>IFERROR(VLOOKUP(C139,Merchants!$A:$D,4,FALSE),"Merchant not found")</f>
        <v>West</v>
      </c>
    </row>
    <row r="140" spans="1:11" x14ac:dyDescent="0.35">
      <c r="A140" t="s">
        <v>345</v>
      </c>
      <c r="B140">
        <v>121</v>
      </c>
      <c r="C140">
        <v>19</v>
      </c>
      <c r="D140" t="s">
        <v>346</v>
      </c>
      <c r="E140">
        <v>149</v>
      </c>
      <c r="F140" t="s">
        <v>68</v>
      </c>
      <c r="G140" t="s">
        <v>65</v>
      </c>
      <c r="H140">
        <v>29</v>
      </c>
      <c r="I140" t="str">
        <f>IFERROR(VLOOKUP(C140,Merchants!$A:$D,2,FALSE),"Merchant not found")</f>
        <v>Merchant_019</v>
      </c>
      <c r="J140" t="str">
        <f>IFERROR(VLOOKUP(C140,Merchants!$A:$D,3,FALSE),"Merchant not found")</f>
        <v>grocery</v>
      </c>
      <c r="K140" t="str">
        <f>IFERROR(VLOOKUP(C140,Merchants!$A:$D,4,FALSE),"Merchant not found")</f>
        <v>North</v>
      </c>
    </row>
    <row r="141" spans="1:11" x14ac:dyDescent="0.35">
      <c r="A141" t="s">
        <v>347</v>
      </c>
      <c r="B141">
        <v>51</v>
      </c>
      <c r="C141">
        <v>7</v>
      </c>
      <c r="D141" t="s">
        <v>348</v>
      </c>
      <c r="E141">
        <v>499</v>
      </c>
      <c r="F141" t="s">
        <v>90</v>
      </c>
      <c r="G141" t="s">
        <v>65</v>
      </c>
      <c r="H141">
        <v>56</v>
      </c>
      <c r="I141" t="str">
        <f>IFERROR(VLOOKUP(C141,Merchants!$A:$D,2,FALSE),"Merchant not found")</f>
        <v>Merchant_007</v>
      </c>
      <c r="J141" t="str">
        <f>IFERROR(VLOOKUP(C141,Merchants!$A:$D,3,FALSE),"Merchant not found")</f>
        <v>food_delivery</v>
      </c>
      <c r="K141" t="str">
        <f>IFERROR(VLOOKUP(C141,Merchants!$A:$D,4,FALSE),"Merchant not found")</f>
        <v>East</v>
      </c>
    </row>
    <row r="142" spans="1:11" x14ac:dyDescent="0.35">
      <c r="A142" t="s">
        <v>349</v>
      </c>
      <c r="B142">
        <v>15</v>
      </c>
      <c r="C142">
        <v>3</v>
      </c>
      <c r="D142" t="s">
        <v>350</v>
      </c>
      <c r="E142">
        <v>799</v>
      </c>
      <c r="F142" t="s">
        <v>68</v>
      </c>
      <c r="G142" t="s">
        <v>65</v>
      </c>
      <c r="H142">
        <v>41</v>
      </c>
      <c r="I142" t="str">
        <f>IFERROR(VLOOKUP(C142,Merchants!$A:$D,2,FALSE),"Merchant not found")</f>
        <v>Merchant_003</v>
      </c>
      <c r="J142" t="str">
        <f>IFERROR(VLOOKUP(C142,Merchants!$A:$D,3,FALSE),"Merchant not found")</f>
        <v>grocery</v>
      </c>
      <c r="K142" t="str">
        <f>IFERROR(VLOOKUP(C142,Merchants!$A:$D,4,FALSE),"Merchant not found")</f>
        <v>East</v>
      </c>
    </row>
    <row r="143" spans="1:11" x14ac:dyDescent="0.35">
      <c r="A143" t="s">
        <v>351</v>
      </c>
      <c r="B143">
        <v>184</v>
      </c>
      <c r="C143">
        <v>24</v>
      </c>
      <c r="D143" t="s">
        <v>352</v>
      </c>
      <c r="E143">
        <v>49</v>
      </c>
      <c r="F143" t="s">
        <v>68</v>
      </c>
      <c r="G143" t="s">
        <v>65</v>
      </c>
      <c r="H143">
        <v>55</v>
      </c>
      <c r="I143" t="str">
        <f>IFERROR(VLOOKUP(C143,Merchants!$A:$D,2,FALSE),"Merchant not found")</f>
        <v>Merchant_024</v>
      </c>
      <c r="J143" t="str">
        <f>IFERROR(VLOOKUP(C143,Merchants!$A:$D,3,FALSE),"Merchant not found")</f>
        <v>grocery</v>
      </c>
      <c r="K143" t="str">
        <f>IFERROR(VLOOKUP(C143,Merchants!$A:$D,4,FALSE),"Merchant not found")</f>
        <v>North</v>
      </c>
    </row>
    <row r="144" spans="1:11" x14ac:dyDescent="0.35">
      <c r="A144" t="s">
        <v>353</v>
      </c>
      <c r="B144">
        <v>211</v>
      </c>
      <c r="C144">
        <v>37</v>
      </c>
      <c r="D144" t="s">
        <v>354</v>
      </c>
      <c r="E144">
        <v>1499</v>
      </c>
      <c r="F144" t="s">
        <v>68</v>
      </c>
      <c r="G144" t="s">
        <v>65</v>
      </c>
      <c r="H144">
        <v>87</v>
      </c>
      <c r="I144" t="str">
        <f>IFERROR(VLOOKUP(C144,Merchants!$A:$D,2,FALSE),"Merchant not found")</f>
        <v>Merchant_037</v>
      </c>
      <c r="J144" t="str">
        <f>IFERROR(VLOOKUP(C144,Merchants!$A:$D,3,FALSE),"Merchant not found")</f>
        <v>entertainment</v>
      </c>
      <c r="K144" t="str">
        <f>IFERROR(VLOOKUP(C144,Merchants!$A:$D,4,FALSE),"Merchant not found")</f>
        <v>South</v>
      </c>
    </row>
    <row r="145" spans="1:11" x14ac:dyDescent="0.35">
      <c r="A145" t="s">
        <v>355</v>
      </c>
      <c r="B145">
        <v>90</v>
      </c>
      <c r="C145">
        <v>6</v>
      </c>
      <c r="D145" t="s">
        <v>356</v>
      </c>
      <c r="E145">
        <v>49</v>
      </c>
      <c r="F145" t="s">
        <v>90</v>
      </c>
      <c r="G145" t="s">
        <v>65</v>
      </c>
      <c r="H145">
        <v>78</v>
      </c>
      <c r="I145" t="str">
        <f>IFERROR(VLOOKUP(C145,Merchants!$A:$D,2,FALSE),"Merchant not found")</f>
        <v>Merchant_006</v>
      </c>
      <c r="J145" t="str">
        <f>IFERROR(VLOOKUP(C145,Merchants!$A:$D,3,FALSE),"Merchant not found")</f>
        <v>food_delivery</v>
      </c>
      <c r="K145" t="str">
        <f>IFERROR(VLOOKUP(C145,Merchants!$A:$D,4,FALSE),"Merchant not found")</f>
        <v>South</v>
      </c>
    </row>
    <row r="146" spans="1:11" x14ac:dyDescent="0.35">
      <c r="A146" t="s">
        <v>357</v>
      </c>
      <c r="B146">
        <v>350</v>
      </c>
      <c r="C146">
        <v>16</v>
      </c>
      <c r="D146" t="s">
        <v>358</v>
      </c>
      <c r="E146">
        <v>49</v>
      </c>
      <c r="F146" t="s">
        <v>68</v>
      </c>
      <c r="G146" t="s">
        <v>65</v>
      </c>
      <c r="H146">
        <v>63</v>
      </c>
      <c r="I146" t="str">
        <f>IFERROR(VLOOKUP(C146,Merchants!$A:$D,2,FALSE),"Merchant not found")</f>
        <v>Merchant_016</v>
      </c>
      <c r="J146" t="str">
        <f>IFERROR(VLOOKUP(C146,Merchants!$A:$D,3,FALSE),"Merchant not found")</f>
        <v>bill_payment</v>
      </c>
      <c r="K146" t="str">
        <f>IFERROR(VLOOKUP(C146,Merchants!$A:$D,4,FALSE),"Merchant not found")</f>
        <v>West</v>
      </c>
    </row>
    <row r="147" spans="1:11" x14ac:dyDescent="0.35">
      <c r="A147" t="s">
        <v>359</v>
      </c>
      <c r="B147">
        <v>119</v>
      </c>
      <c r="C147">
        <v>30</v>
      </c>
      <c r="D147" t="s">
        <v>360</v>
      </c>
      <c r="E147">
        <v>49</v>
      </c>
      <c r="F147" t="s">
        <v>90</v>
      </c>
      <c r="G147" t="s">
        <v>65</v>
      </c>
      <c r="H147">
        <v>81</v>
      </c>
      <c r="I147" t="str">
        <f>IFERROR(VLOOKUP(C147,Merchants!$A:$D,2,FALSE),"Merchant not found")</f>
        <v>Merchant_030</v>
      </c>
      <c r="J147" t="str">
        <f>IFERROR(VLOOKUP(C147,Merchants!$A:$D,3,FALSE),"Merchant not found")</f>
        <v>travel</v>
      </c>
      <c r="K147" t="str">
        <f>IFERROR(VLOOKUP(C147,Merchants!$A:$D,4,FALSE),"Merchant not found")</f>
        <v>West</v>
      </c>
    </row>
    <row r="148" spans="1:11" x14ac:dyDescent="0.35">
      <c r="A148" t="s">
        <v>361</v>
      </c>
      <c r="B148">
        <v>342</v>
      </c>
      <c r="C148">
        <v>1</v>
      </c>
      <c r="D148" t="s">
        <v>362</v>
      </c>
      <c r="E148">
        <v>49</v>
      </c>
      <c r="F148" t="s">
        <v>68</v>
      </c>
      <c r="G148" t="s">
        <v>65</v>
      </c>
      <c r="H148">
        <v>59</v>
      </c>
      <c r="I148" t="str">
        <f>IFERROR(VLOOKUP(C148,Merchants!$A:$D,2,FALSE),"Merchant not found")</f>
        <v>Merchant_001</v>
      </c>
      <c r="J148" t="str">
        <f>IFERROR(VLOOKUP(C148,Merchants!$A:$D,3,FALSE),"Merchant not found")</f>
        <v>ecommerce</v>
      </c>
      <c r="K148" t="str">
        <f>IFERROR(VLOOKUP(C148,Merchants!$A:$D,4,FALSE),"Merchant not found")</f>
        <v>South</v>
      </c>
    </row>
    <row r="149" spans="1:11" x14ac:dyDescent="0.35">
      <c r="A149" t="s">
        <v>363</v>
      </c>
      <c r="B149">
        <v>280</v>
      </c>
      <c r="C149">
        <v>11</v>
      </c>
      <c r="D149" t="s">
        <v>364</v>
      </c>
      <c r="E149">
        <v>149</v>
      </c>
      <c r="F149" t="s">
        <v>68</v>
      </c>
      <c r="G149" t="s">
        <v>116</v>
      </c>
      <c r="H149">
        <v>9</v>
      </c>
      <c r="I149" t="str">
        <f>IFERROR(VLOOKUP(C149,Merchants!$A:$D,2,FALSE),"Merchant not found")</f>
        <v>Merchant_011</v>
      </c>
      <c r="J149" t="str">
        <f>IFERROR(VLOOKUP(C149,Merchants!$A:$D,3,FALSE),"Merchant not found")</f>
        <v>ecommerce</v>
      </c>
      <c r="K149" t="str">
        <f>IFERROR(VLOOKUP(C149,Merchants!$A:$D,4,FALSE),"Merchant not found")</f>
        <v>North</v>
      </c>
    </row>
    <row r="150" spans="1:11" x14ac:dyDescent="0.35">
      <c r="A150" t="s">
        <v>365</v>
      </c>
      <c r="B150">
        <v>154</v>
      </c>
      <c r="C150">
        <v>28</v>
      </c>
      <c r="D150" t="s">
        <v>366</v>
      </c>
      <c r="E150">
        <v>2999</v>
      </c>
      <c r="F150" t="s">
        <v>73</v>
      </c>
      <c r="G150" t="s">
        <v>65</v>
      </c>
      <c r="H150">
        <v>88</v>
      </c>
      <c r="I150" t="str">
        <f>IFERROR(VLOOKUP(C150,Merchants!$A:$D,2,FALSE),"Merchant not found")</f>
        <v>Merchant_028</v>
      </c>
      <c r="J150" t="str">
        <f>IFERROR(VLOOKUP(C150,Merchants!$A:$D,3,FALSE),"Merchant not found")</f>
        <v>ecommerce</v>
      </c>
      <c r="K150" t="str">
        <f>IFERROR(VLOOKUP(C150,Merchants!$A:$D,4,FALSE),"Merchant not found")</f>
        <v>South</v>
      </c>
    </row>
    <row r="151" spans="1:11" x14ac:dyDescent="0.35">
      <c r="A151" t="s">
        <v>367</v>
      </c>
      <c r="B151">
        <v>155</v>
      </c>
      <c r="C151">
        <v>13</v>
      </c>
      <c r="D151" t="s">
        <v>368</v>
      </c>
      <c r="E151">
        <v>149</v>
      </c>
      <c r="F151" t="s">
        <v>68</v>
      </c>
      <c r="G151" t="s">
        <v>65</v>
      </c>
      <c r="H151">
        <v>49</v>
      </c>
      <c r="I151" t="str">
        <f>IFERROR(VLOOKUP(C151,Merchants!$A:$D,2,FALSE),"Merchant not found")</f>
        <v>Merchant_013</v>
      </c>
      <c r="J151" t="str">
        <f>IFERROR(VLOOKUP(C151,Merchants!$A:$D,3,FALSE),"Merchant not found")</f>
        <v>travel</v>
      </c>
      <c r="K151" t="str">
        <f>IFERROR(VLOOKUP(C151,Merchants!$A:$D,4,FALSE),"Merchant not found")</f>
        <v>East</v>
      </c>
    </row>
    <row r="152" spans="1:11" x14ac:dyDescent="0.35">
      <c r="A152" t="s">
        <v>369</v>
      </c>
      <c r="B152">
        <v>122</v>
      </c>
      <c r="C152">
        <v>25</v>
      </c>
      <c r="D152" t="s">
        <v>370</v>
      </c>
      <c r="E152">
        <v>299</v>
      </c>
      <c r="F152" t="s">
        <v>68</v>
      </c>
      <c r="G152" t="s">
        <v>65</v>
      </c>
      <c r="H152">
        <v>73</v>
      </c>
      <c r="I152" t="str">
        <f>IFERROR(VLOOKUP(C152,Merchants!$A:$D,2,FALSE),"Merchant not found")</f>
        <v>Merchant_025</v>
      </c>
      <c r="J152" t="str">
        <f>IFERROR(VLOOKUP(C152,Merchants!$A:$D,3,FALSE),"Merchant not found")</f>
        <v>travel</v>
      </c>
      <c r="K152" t="str">
        <f>IFERROR(VLOOKUP(C152,Merchants!$A:$D,4,FALSE),"Merchant not found")</f>
        <v>South</v>
      </c>
    </row>
    <row r="153" spans="1:11" x14ac:dyDescent="0.35">
      <c r="A153" t="s">
        <v>371</v>
      </c>
      <c r="B153">
        <v>152</v>
      </c>
      <c r="C153">
        <v>2</v>
      </c>
      <c r="D153" t="s">
        <v>372</v>
      </c>
      <c r="E153">
        <v>49</v>
      </c>
      <c r="F153" t="s">
        <v>68</v>
      </c>
      <c r="G153" t="s">
        <v>65</v>
      </c>
      <c r="H153">
        <v>84</v>
      </c>
      <c r="I153" t="str">
        <f>IFERROR(VLOOKUP(C153,Merchants!$A:$D,2,FALSE),"Merchant not found")</f>
        <v>Merchant_002</v>
      </c>
      <c r="J153" t="str">
        <f>IFERROR(VLOOKUP(C153,Merchants!$A:$D,3,FALSE),"Merchant not found")</f>
        <v>grocery</v>
      </c>
      <c r="K153" t="str">
        <f>IFERROR(VLOOKUP(C153,Merchants!$A:$D,4,FALSE),"Merchant not found")</f>
        <v>West</v>
      </c>
    </row>
    <row r="154" spans="1:11" x14ac:dyDescent="0.35">
      <c r="A154" t="s">
        <v>373</v>
      </c>
      <c r="B154">
        <v>290</v>
      </c>
      <c r="C154">
        <v>4</v>
      </c>
      <c r="D154" t="s">
        <v>374</v>
      </c>
      <c r="E154">
        <v>149</v>
      </c>
      <c r="F154" t="s">
        <v>68</v>
      </c>
      <c r="G154" t="s">
        <v>65</v>
      </c>
      <c r="H154">
        <v>77</v>
      </c>
      <c r="I154" t="str">
        <f>IFERROR(VLOOKUP(C154,Merchants!$A:$D,2,FALSE),"Merchant not found")</f>
        <v>Merchant_004</v>
      </c>
      <c r="J154" t="str">
        <f>IFERROR(VLOOKUP(C154,Merchants!$A:$D,3,FALSE),"Merchant not found")</f>
        <v>ecommerce</v>
      </c>
      <c r="K154" t="str">
        <f>IFERROR(VLOOKUP(C154,Merchants!$A:$D,4,FALSE),"Merchant not found")</f>
        <v>East</v>
      </c>
    </row>
    <row r="155" spans="1:11" x14ac:dyDescent="0.35">
      <c r="A155" t="s">
        <v>375</v>
      </c>
      <c r="B155">
        <v>147</v>
      </c>
      <c r="C155">
        <v>15</v>
      </c>
      <c r="D155" t="s">
        <v>376</v>
      </c>
      <c r="E155">
        <v>49</v>
      </c>
      <c r="F155" t="s">
        <v>64</v>
      </c>
      <c r="G155" t="s">
        <v>65</v>
      </c>
      <c r="H155">
        <v>77</v>
      </c>
      <c r="I155" t="str">
        <f>IFERROR(VLOOKUP(C155,Merchants!$A:$D,2,FALSE),"Merchant not found")</f>
        <v>Merchant_015</v>
      </c>
      <c r="J155" t="str">
        <f>IFERROR(VLOOKUP(C155,Merchants!$A:$D,3,FALSE),"Merchant not found")</f>
        <v>travel</v>
      </c>
      <c r="K155" t="str">
        <f>IFERROR(VLOOKUP(C155,Merchants!$A:$D,4,FALSE),"Merchant not found")</f>
        <v>North</v>
      </c>
    </row>
    <row r="156" spans="1:11" x14ac:dyDescent="0.35">
      <c r="A156" t="s">
        <v>377</v>
      </c>
      <c r="B156">
        <v>326</v>
      </c>
      <c r="C156">
        <v>13</v>
      </c>
      <c r="D156" t="s">
        <v>378</v>
      </c>
      <c r="E156">
        <v>299</v>
      </c>
      <c r="F156" t="s">
        <v>73</v>
      </c>
      <c r="G156" t="s">
        <v>65</v>
      </c>
      <c r="H156">
        <v>79</v>
      </c>
      <c r="I156" t="str">
        <f>IFERROR(VLOOKUP(C156,Merchants!$A:$D,2,FALSE),"Merchant not found")</f>
        <v>Merchant_013</v>
      </c>
      <c r="J156" t="str">
        <f>IFERROR(VLOOKUP(C156,Merchants!$A:$D,3,FALSE),"Merchant not found")</f>
        <v>travel</v>
      </c>
      <c r="K156" t="str">
        <f>IFERROR(VLOOKUP(C156,Merchants!$A:$D,4,FALSE),"Merchant not found")</f>
        <v>East</v>
      </c>
    </row>
    <row r="157" spans="1:11" x14ac:dyDescent="0.35">
      <c r="A157" t="s">
        <v>379</v>
      </c>
      <c r="B157">
        <v>338</v>
      </c>
      <c r="C157">
        <v>9</v>
      </c>
      <c r="D157" t="s">
        <v>380</v>
      </c>
      <c r="E157">
        <v>99</v>
      </c>
      <c r="F157" t="s">
        <v>90</v>
      </c>
      <c r="G157" t="s">
        <v>65</v>
      </c>
      <c r="H157">
        <v>80</v>
      </c>
      <c r="I157" t="str">
        <f>IFERROR(VLOOKUP(C157,Merchants!$A:$D,2,FALSE),"Merchant not found")</f>
        <v>Merchant_009</v>
      </c>
      <c r="J157" t="str">
        <f>IFERROR(VLOOKUP(C157,Merchants!$A:$D,3,FALSE),"Merchant not found")</f>
        <v>ecommerce</v>
      </c>
      <c r="K157" t="str">
        <f>IFERROR(VLOOKUP(C157,Merchants!$A:$D,4,FALSE),"Merchant not found")</f>
        <v>North</v>
      </c>
    </row>
    <row r="158" spans="1:11" x14ac:dyDescent="0.35">
      <c r="A158" t="s">
        <v>381</v>
      </c>
      <c r="B158">
        <v>21</v>
      </c>
      <c r="C158">
        <v>20</v>
      </c>
      <c r="D158" t="s">
        <v>382</v>
      </c>
      <c r="E158">
        <v>2999</v>
      </c>
      <c r="F158" t="s">
        <v>68</v>
      </c>
      <c r="G158" t="s">
        <v>65</v>
      </c>
      <c r="H158">
        <v>100</v>
      </c>
      <c r="I158" t="str">
        <f>IFERROR(VLOOKUP(C158,Merchants!$A:$D,2,FALSE),"Merchant not found")</f>
        <v>Merchant_020</v>
      </c>
      <c r="J158" t="str">
        <f>IFERROR(VLOOKUP(C158,Merchants!$A:$D,3,FALSE),"Merchant not found")</f>
        <v>food_delivery</v>
      </c>
      <c r="K158" t="str">
        <f>IFERROR(VLOOKUP(C158,Merchants!$A:$D,4,FALSE),"Merchant not found")</f>
        <v>East</v>
      </c>
    </row>
    <row r="159" spans="1:11" x14ac:dyDescent="0.35">
      <c r="A159" t="s">
        <v>383</v>
      </c>
      <c r="B159">
        <v>187</v>
      </c>
      <c r="C159">
        <v>9</v>
      </c>
      <c r="D159" t="s">
        <v>384</v>
      </c>
      <c r="E159">
        <v>49</v>
      </c>
      <c r="F159" t="s">
        <v>90</v>
      </c>
      <c r="G159" t="s">
        <v>91</v>
      </c>
      <c r="H159">
        <v>11</v>
      </c>
      <c r="I159" t="str">
        <f>IFERROR(VLOOKUP(C159,Merchants!$A:$D,2,FALSE),"Merchant not found")</f>
        <v>Merchant_009</v>
      </c>
      <c r="J159" t="str">
        <f>IFERROR(VLOOKUP(C159,Merchants!$A:$D,3,FALSE),"Merchant not found")</f>
        <v>ecommerce</v>
      </c>
      <c r="K159" t="str">
        <f>IFERROR(VLOOKUP(C159,Merchants!$A:$D,4,FALSE),"Merchant not found")</f>
        <v>North</v>
      </c>
    </row>
    <row r="160" spans="1:11" x14ac:dyDescent="0.35">
      <c r="A160" t="s">
        <v>385</v>
      </c>
      <c r="B160">
        <v>213</v>
      </c>
      <c r="C160">
        <v>12</v>
      </c>
      <c r="D160" t="s">
        <v>386</v>
      </c>
      <c r="E160">
        <v>4999</v>
      </c>
      <c r="F160" t="s">
        <v>68</v>
      </c>
      <c r="G160" t="s">
        <v>65</v>
      </c>
      <c r="H160">
        <v>25</v>
      </c>
      <c r="I160" t="str">
        <f>IFERROR(VLOOKUP(C160,Merchants!$A:$D,2,FALSE),"Merchant not found")</f>
        <v>Merchant_012</v>
      </c>
      <c r="J160" t="str">
        <f>IFERROR(VLOOKUP(C160,Merchants!$A:$D,3,FALSE),"Merchant not found")</f>
        <v>ecommerce</v>
      </c>
      <c r="K160" t="str">
        <f>IFERROR(VLOOKUP(C160,Merchants!$A:$D,4,FALSE),"Merchant not found")</f>
        <v>East</v>
      </c>
    </row>
    <row r="161" spans="1:11" x14ac:dyDescent="0.35">
      <c r="A161" t="s">
        <v>387</v>
      </c>
      <c r="B161">
        <v>188</v>
      </c>
      <c r="C161">
        <v>34</v>
      </c>
      <c r="D161" t="s">
        <v>388</v>
      </c>
      <c r="E161">
        <v>2999</v>
      </c>
      <c r="F161" t="s">
        <v>68</v>
      </c>
      <c r="G161" t="s">
        <v>65</v>
      </c>
      <c r="H161">
        <v>64</v>
      </c>
      <c r="I161" t="str">
        <f>IFERROR(VLOOKUP(C161,Merchants!$A:$D,2,FALSE),"Merchant not found")</f>
        <v>Merchant_034</v>
      </c>
      <c r="J161" t="str">
        <f>IFERROR(VLOOKUP(C161,Merchants!$A:$D,3,FALSE),"Merchant not found")</f>
        <v>travel</v>
      </c>
      <c r="K161" t="str">
        <f>IFERROR(VLOOKUP(C161,Merchants!$A:$D,4,FALSE),"Merchant not found")</f>
        <v>South</v>
      </c>
    </row>
    <row r="162" spans="1:11" x14ac:dyDescent="0.35">
      <c r="A162" t="s">
        <v>389</v>
      </c>
      <c r="B162">
        <v>85</v>
      </c>
      <c r="C162">
        <v>17</v>
      </c>
      <c r="D162" t="s">
        <v>390</v>
      </c>
      <c r="E162">
        <v>499</v>
      </c>
      <c r="F162" t="s">
        <v>68</v>
      </c>
      <c r="G162" t="s">
        <v>65</v>
      </c>
      <c r="H162">
        <v>61</v>
      </c>
      <c r="I162" t="str">
        <f>IFERROR(VLOOKUP(C162,Merchants!$A:$D,2,FALSE),"Merchant not found")</f>
        <v>Merchant_017</v>
      </c>
      <c r="J162" t="str">
        <f>IFERROR(VLOOKUP(C162,Merchants!$A:$D,3,FALSE),"Merchant not found")</f>
        <v>grocery</v>
      </c>
      <c r="K162" t="str">
        <f>IFERROR(VLOOKUP(C162,Merchants!$A:$D,4,FALSE),"Merchant not found")</f>
        <v>North</v>
      </c>
    </row>
    <row r="163" spans="1:11" x14ac:dyDescent="0.35">
      <c r="A163" t="s">
        <v>391</v>
      </c>
      <c r="B163">
        <v>174</v>
      </c>
      <c r="C163">
        <v>8</v>
      </c>
      <c r="D163" t="s">
        <v>392</v>
      </c>
      <c r="E163">
        <v>299</v>
      </c>
      <c r="F163" t="s">
        <v>73</v>
      </c>
      <c r="G163" t="s">
        <v>65</v>
      </c>
      <c r="H163">
        <v>59</v>
      </c>
      <c r="I163" t="str">
        <f>IFERROR(VLOOKUP(C163,Merchants!$A:$D,2,FALSE),"Merchant not found")</f>
        <v>Merchant_008</v>
      </c>
      <c r="J163" t="str">
        <f>IFERROR(VLOOKUP(C163,Merchants!$A:$D,3,FALSE),"Merchant not found")</f>
        <v>food_delivery</v>
      </c>
      <c r="K163" t="str">
        <f>IFERROR(VLOOKUP(C163,Merchants!$A:$D,4,FALSE),"Merchant not found")</f>
        <v>North</v>
      </c>
    </row>
    <row r="164" spans="1:11" x14ac:dyDescent="0.35">
      <c r="A164" t="s">
        <v>393</v>
      </c>
      <c r="B164">
        <v>116</v>
      </c>
      <c r="C164">
        <v>26</v>
      </c>
      <c r="D164" t="s">
        <v>394</v>
      </c>
      <c r="E164">
        <v>99</v>
      </c>
      <c r="F164" t="s">
        <v>73</v>
      </c>
      <c r="G164" t="s">
        <v>65</v>
      </c>
      <c r="H164">
        <v>71</v>
      </c>
      <c r="I164" t="str">
        <f>IFERROR(VLOOKUP(C164,Merchants!$A:$D,2,FALSE),"Merchant not found")</f>
        <v>Merchant_026</v>
      </c>
      <c r="J164" t="str">
        <f>IFERROR(VLOOKUP(C164,Merchants!$A:$D,3,FALSE),"Merchant not found")</f>
        <v>food_delivery</v>
      </c>
      <c r="K164" t="str">
        <f>IFERROR(VLOOKUP(C164,Merchants!$A:$D,4,FALSE),"Merchant not found")</f>
        <v>East</v>
      </c>
    </row>
    <row r="165" spans="1:11" x14ac:dyDescent="0.35">
      <c r="A165" t="s">
        <v>395</v>
      </c>
      <c r="B165">
        <v>203</v>
      </c>
      <c r="C165">
        <v>1</v>
      </c>
      <c r="D165" t="s">
        <v>396</v>
      </c>
      <c r="E165">
        <v>149</v>
      </c>
      <c r="F165" t="s">
        <v>64</v>
      </c>
      <c r="G165" t="s">
        <v>65</v>
      </c>
      <c r="H165">
        <v>33</v>
      </c>
      <c r="I165" t="str">
        <f>IFERROR(VLOOKUP(C165,Merchants!$A:$D,2,FALSE),"Merchant not found")</f>
        <v>Merchant_001</v>
      </c>
      <c r="J165" t="str">
        <f>IFERROR(VLOOKUP(C165,Merchants!$A:$D,3,FALSE),"Merchant not found")</f>
        <v>ecommerce</v>
      </c>
      <c r="K165" t="str">
        <f>IFERROR(VLOOKUP(C165,Merchants!$A:$D,4,FALSE),"Merchant not found")</f>
        <v>South</v>
      </c>
    </row>
    <row r="166" spans="1:11" x14ac:dyDescent="0.35">
      <c r="A166" t="s">
        <v>397</v>
      </c>
      <c r="B166">
        <v>189</v>
      </c>
      <c r="C166">
        <v>17</v>
      </c>
      <c r="D166" t="s">
        <v>398</v>
      </c>
      <c r="E166">
        <v>99</v>
      </c>
      <c r="F166" t="s">
        <v>68</v>
      </c>
      <c r="G166" t="s">
        <v>65</v>
      </c>
      <c r="H166">
        <v>74</v>
      </c>
      <c r="I166" t="str">
        <f>IFERROR(VLOOKUP(C166,Merchants!$A:$D,2,FALSE),"Merchant not found")</f>
        <v>Merchant_017</v>
      </c>
      <c r="J166" t="str">
        <f>IFERROR(VLOOKUP(C166,Merchants!$A:$D,3,FALSE),"Merchant not found")</f>
        <v>grocery</v>
      </c>
      <c r="K166" t="str">
        <f>IFERROR(VLOOKUP(C166,Merchants!$A:$D,4,FALSE),"Merchant not found")</f>
        <v>North</v>
      </c>
    </row>
    <row r="167" spans="1:11" x14ac:dyDescent="0.35">
      <c r="A167" t="s">
        <v>399</v>
      </c>
      <c r="B167">
        <v>56</v>
      </c>
      <c r="C167">
        <v>15</v>
      </c>
      <c r="D167" t="s">
        <v>400</v>
      </c>
      <c r="E167">
        <v>299</v>
      </c>
      <c r="F167" t="s">
        <v>68</v>
      </c>
      <c r="G167" t="s">
        <v>65</v>
      </c>
      <c r="H167">
        <v>60</v>
      </c>
      <c r="I167" t="str">
        <f>IFERROR(VLOOKUP(C167,Merchants!$A:$D,2,FALSE),"Merchant not found")</f>
        <v>Merchant_015</v>
      </c>
      <c r="J167" t="str">
        <f>IFERROR(VLOOKUP(C167,Merchants!$A:$D,3,FALSE),"Merchant not found")</f>
        <v>travel</v>
      </c>
      <c r="K167" t="str">
        <f>IFERROR(VLOOKUP(C167,Merchants!$A:$D,4,FALSE),"Merchant not found")</f>
        <v>North</v>
      </c>
    </row>
    <row r="168" spans="1:11" x14ac:dyDescent="0.35">
      <c r="A168" t="s">
        <v>401</v>
      </c>
      <c r="B168">
        <v>288</v>
      </c>
      <c r="C168">
        <v>21</v>
      </c>
      <c r="D168" t="s">
        <v>402</v>
      </c>
      <c r="E168">
        <v>4999</v>
      </c>
      <c r="F168" t="s">
        <v>64</v>
      </c>
      <c r="G168" t="s">
        <v>91</v>
      </c>
      <c r="H168">
        <v>78</v>
      </c>
      <c r="I168" t="str">
        <f>IFERROR(VLOOKUP(C168,Merchants!$A:$D,2,FALSE),"Merchant not found")</f>
        <v>Merchant_021</v>
      </c>
      <c r="J168" t="str">
        <f>IFERROR(VLOOKUP(C168,Merchants!$A:$D,3,FALSE),"Merchant not found")</f>
        <v>food_delivery</v>
      </c>
      <c r="K168" t="str">
        <f>IFERROR(VLOOKUP(C168,Merchants!$A:$D,4,FALSE),"Merchant not found")</f>
        <v>East</v>
      </c>
    </row>
    <row r="169" spans="1:11" x14ac:dyDescent="0.35">
      <c r="A169" t="s">
        <v>403</v>
      </c>
      <c r="B169">
        <v>326</v>
      </c>
      <c r="C169">
        <v>30</v>
      </c>
      <c r="D169" t="s">
        <v>176</v>
      </c>
      <c r="E169">
        <v>99</v>
      </c>
      <c r="F169" t="s">
        <v>90</v>
      </c>
      <c r="G169" t="s">
        <v>65</v>
      </c>
      <c r="H169">
        <v>89</v>
      </c>
      <c r="I169" t="str">
        <f>IFERROR(VLOOKUP(C169,Merchants!$A:$D,2,FALSE),"Merchant not found")</f>
        <v>Merchant_030</v>
      </c>
      <c r="J169" t="str">
        <f>IFERROR(VLOOKUP(C169,Merchants!$A:$D,3,FALSE),"Merchant not found")</f>
        <v>travel</v>
      </c>
      <c r="K169" t="str">
        <f>IFERROR(VLOOKUP(C169,Merchants!$A:$D,4,FALSE),"Merchant not found")</f>
        <v>West</v>
      </c>
    </row>
    <row r="170" spans="1:11" x14ac:dyDescent="0.35">
      <c r="A170" t="s">
        <v>404</v>
      </c>
      <c r="B170">
        <v>60</v>
      </c>
      <c r="C170">
        <v>9</v>
      </c>
      <c r="D170" t="s">
        <v>405</v>
      </c>
      <c r="E170">
        <v>49</v>
      </c>
      <c r="F170" t="s">
        <v>73</v>
      </c>
      <c r="G170" t="s">
        <v>65</v>
      </c>
      <c r="H170">
        <v>5</v>
      </c>
      <c r="I170" t="str">
        <f>IFERROR(VLOOKUP(C170,Merchants!$A:$D,2,FALSE),"Merchant not found")</f>
        <v>Merchant_009</v>
      </c>
      <c r="J170" t="str">
        <f>IFERROR(VLOOKUP(C170,Merchants!$A:$D,3,FALSE),"Merchant not found")</f>
        <v>ecommerce</v>
      </c>
      <c r="K170" t="str">
        <f>IFERROR(VLOOKUP(C170,Merchants!$A:$D,4,FALSE),"Merchant not found")</f>
        <v>North</v>
      </c>
    </row>
    <row r="171" spans="1:11" x14ac:dyDescent="0.35">
      <c r="A171" t="s">
        <v>406</v>
      </c>
      <c r="B171">
        <v>60</v>
      </c>
      <c r="C171">
        <v>7</v>
      </c>
      <c r="D171" t="s">
        <v>407</v>
      </c>
      <c r="E171">
        <v>2999</v>
      </c>
      <c r="F171" t="s">
        <v>64</v>
      </c>
      <c r="G171" t="s">
        <v>65</v>
      </c>
      <c r="H171">
        <v>30</v>
      </c>
      <c r="I171" t="str">
        <f>IFERROR(VLOOKUP(C171,Merchants!$A:$D,2,FALSE),"Merchant not found")</f>
        <v>Merchant_007</v>
      </c>
      <c r="J171" t="str">
        <f>IFERROR(VLOOKUP(C171,Merchants!$A:$D,3,FALSE),"Merchant not found")</f>
        <v>food_delivery</v>
      </c>
      <c r="K171" t="str">
        <f>IFERROR(VLOOKUP(C171,Merchants!$A:$D,4,FALSE),"Merchant not found")</f>
        <v>East</v>
      </c>
    </row>
    <row r="172" spans="1:11" x14ac:dyDescent="0.35">
      <c r="A172" t="s">
        <v>408</v>
      </c>
      <c r="B172">
        <v>199</v>
      </c>
      <c r="C172">
        <v>30</v>
      </c>
      <c r="D172" t="s">
        <v>409</v>
      </c>
      <c r="E172">
        <v>149</v>
      </c>
      <c r="F172" t="s">
        <v>73</v>
      </c>
      <c r="G172" t="s">
        <v>65</v>
      </c>
      <c r="H172">
        <v>47</v>
      </c>
      <c r="I172" t="str">
        <f>IFERROR(VLOOKUP(C172,Merchants!$A:$D,2,FALSE),"Merchant not found")</f>
        <v>Merchant_030</v>
      </c>
      <c r="J172" t="str">
        <f>IFERROR(VLOOKUP(C172,Merchants!$A:$D,3,FALSE),"Merchant not found")</f>
        <v>travel</v>
      </c>
      <c r="K172" t="str">
        <f>IFERROR(VLOOKUP(C172,Merchants!$A:$D,4,FALSE),"Merchant not found")</f>
        <v>West</v>
      </c>
    </row>
    <row r="173" spans="1:11" x14ac:dyDescent="0.35">
      <c r="A173" t="s">
        <v>410</v>
      </c>
      <c r="B173">
        <v>277</v>
      </c>
      <c r="C173">
        <v>27</v>
      </c>
      <c r="D173" t="s">
        <v>411</v>
      </c>
      <c r="E173">
        <v>49</v>
      </c>
      <c r="F173" t="s">
        <v>68</v>
      </c>
      <c r="G173" t="s">
        <v>65</v>
      </c>
      <c r="H173">
        <v>75</v>
      </c>
      <c r="I173" t="str">
        <f>IFERROR(VLOOKUP(C173,Merchants!$A:$D,2,FALSE),"Merchant not found")</f>
        <v>Merchant_027</v>
      </c>
      <c r="J173" t="str">
        <f>IFERROR(VLOOKUP(C173,Merchants!$A:$D,3,FALSE),"Merchant not found")</f>
        <v>ecommerce</v>
      </c>
      <c r="K173" t="str">
        <f>IFERROR(VLOOKUP(C173,Merchants!$A:$D,4,FALSE),"Merchant not found")</f>
        <v>North</v>
      </c>
    </row>
    <row r="174" spans="1:11" x14ac:dyDescent="0.35">
      <c r="A174" t="s">
        <v>412</v>
      </c>
      <c r="B174">
        <v>213</v>
      </c>
      <c r="C174">
        <v>7</v>
      </c>
      <c r="D174" t="s">
        <v>413</v>
      </c>
      <c r="E174">
        <v>799</v>
      </c>
      <c r="F174" t="s">
        <v>73</v>
      </c>
      <c r="G174" t="s">
        <v>65</v>
      </c>
      <c r="H174">
        <v>62</v>
      </c>
      <c r="I174" t="str">
        <f>IFERROR(VLOOKUP(C174,Merchants!$A:$D,2,FALSE),"Merchant not found")</f>
        <v>Merchant_007</v>
      </c>
      <c r="J174" t="str">
        <f>IFERROR(VLOOKUP(C174,Merchants!$A:$D,3,FALSE),"Merchant not found")</f>
        <v>food_delivery</v>
      </c>
      <c r="K174" t="str">
        <f>IFERROR(VLOOKUP(C174,Merchants!$A:$D,4,FALSE),"Merchant not found")</f>
        <v>East</v>
      </c>
    </row>
    <row r="175" spans="1:11" x14ac:dyDescent="0.35">
      <c r="A175" t="s">
        <v>414</v>
      </c>
      <c r="B175">
        <v>17</v>
      </c>
      <c r="C175">
        <v>24</v>
      </c>
      <c r="D175" t="s">
        <v>415</v>
      </c>
      <c r="E175">
        <v>299</v>
      </c>
      <c r="F175" t="s">
        <v>68</v>
      </c>
      <c r="G175" t="s">
        <v>65</v>
      </c>
      <c r="H175">
        <v>27</v>
      </c>
      <c r="I175" t="str">
        <f>IFERROR(VLOOKUP(C175,Merchants!$A:$D,2,FALSE),"Merchant not found")</f>
        <v>Merchant_024</v>
      </c>
      <c r="J175" t="str">
        <f>IFERROR(VLOOKUP(C175,Merchants!$A:$D,3,FALSE),"Merchant not found")</f>
        <v>grocery</v>
      </c>
      <c r="K175" t="str">
        <f>IFERROR(VLOOKUP(C175,Merchants!$A:$D,4,FALSE),"Merchant not found")</f>
        <v>North</v>
      </c>
    </row>
    <row r="176" spans="1:11" x14ac:dyDescent="0.35">
      <c r="A176" t="s">
        <v>416</v>
      </c>
      <c r="B176">
        <v>186</v>
      </c>
      <c r="C176">
        <v>7</v>
      </c>
      <c r="D176" t="s">
        <v>417</v>
      </c>
      <c r="E176">
        <v>1499</v>
      </c>
      <c r="F176" t="s">
        <v>90</v>
      </c>
      <c r="G176" t="s">
        <v>91</v>
      </c>
      <c r="H176">
        <v>87</v>
      </c>
      <c r="I176" t="str">
        <f>IFERROR(VLOOKUP(C176,Merchants!$A:$D,2,FALSE),"Merchant not found")</f>
        <v>Merchant_007</v>
      </c>
      <c r="J176" t="str">
        <f>IFERROR(VLOOKUP(C176,Merchants!$A:$D,3,FALSE),"Merchant not found")</f>
        <v>food_delivery</v>
      </c>
      <c r="K176" t="str">
        <f>IFERROR(VLOOKUP(C176,Merchants!$A:$D,4,FALSE),"Merchant not found")</f>
        <v>East</v>
      </c>
    </row>
    <row r="177" spans="1:11" x14ac:dyDescent="0.35">
      <c r="A177" t="s">
        <v>418</v>
      </c>
      <c r="B177">
        <v>331</v>
      </c>
      <c r="C177">
        <v>23</v>
      </c>
      <c r="D177" t="s">
        <v>419</v>
      </c>
      <c r="E177">
        <v>149</v>
      </c>
      <c r="F177" t="s">
        <v>68</v>
      </c>
      <c r="G177" t="s">
        <v>65</v>
      </c>
      <c r="H177">
        <v>7</v>
      </c>
      <c r="I177" t="str">
        <f>IFERROR(VLOOKUP(C177,Merchants!$A:$D,2,FALSE),"Merchant not found")</f>
        <v>Merchant_023</v>
      </c>
      <c r="J177" t="str">
        <f>IFERROR(VLOOKUP(C177,Merchants!$A:$D,3,FALSE),"Merchant not found")</f>
        <v>travel</v>
      </c>
      <c r="K177" t="str">
        <f>IFERROR(VLOOKUP(C177,Merchants!$A:$D,4,FALSE),"Merchant not found")</f>
        <v>North</v>
      </c>
    </row>
    <row r="178" spans="1:11" x14ac:dyDescent="0.35">
      <c r="A178" t="s">
        <v>420</v>
      </c>
      <c r="B178">
        <v>63</v>
      </c>
      <c r="C178">
        <v>30</v>
      </c>
      <c r="D178" t="s">
        <v>421</v>
      </c>
      <c r="E178">
        <v>1499</v>
      </c>
      <c r="F178" t="s">
        <v>90</v>
      </c>
      <c r="G178" t="s">
        <v>65</v>
      </c>
      <c r="H178">
        <v>11</v>
      </c>
      <c r="I178" t="str">
        <f>IFERROR(VLOOKUP(C178,Merchants!$A:$D,2,FALSE),"Merchant not found")</f>
        <v>Merchant_030</v>
      </c>
      <c r="J178" t="str">
        <f>IFERROR(VLOOKUP(C178,Merchants!$A:$D,3,FALSE),"Merchant not found")</f>
        <v>travel</v>
      </c>
      <c r="K178" t="str">
        <f>IFERROR(VLOOKUP(C178,Merchants!$A:$D,4,FALSE),"Merchant not found")</f>
        <v>West</v>
      </c>
    </row>
    <row r="179" spans="1:11" x14ac:dyDescent="0.35">
      <c r="A179" t="s">
        <v>422</v>
      </c>
      <c r="B179">
        <v>328</v>
      </c>
      <c r="C179">
        <v>39</v>
      </c>
      <c r="D179" t="s">
        <v>423</v>
      </c>
      <c r="E179">
        <v>4999</v>
      </c>
      <c r="F179" t="s">
        <v>64</v>
      </c>
      <c r="G179" t="s">
        <v>116</v>
      </c>
      <c r="H179">
        <v>2</v>
      </c>
      <c r="I179" t="str">
        <f>IFERROR(VLOOKUP(C179,Merchants!$A:$D,2,FALSE),"Merchant not found")</f>
        <v>Merchant_039</v>
      </c>
      <c r="J179" t="str">
        <f>IFERROR(VLOOKUP(C179,Merchants!$A:$D,3,FALSE),"Merchant not found")</f>
        <v>entertainment</v>
      </c>
      <c r="K179" t="str">
        <f>IFERROR(VLOOKUP(C179,Merchants!$A:$D,4,FALSE),"Merchant not found")</f>
        <v>North</v>
      </c>
    </row>
    <row r="180" spans="1:11" x14ac:dyDescent="0.35">
      <c r="A180" t="s">
        <v>424</v>
      </c>
      <c r="B180">
        <v>65</v>
      </c>
      <c r="C180">
        <v>37</v>
      </c>
      <c r="D180" t="s">
        <v>425</v>
      </c>
      <c r="E180">
        <v>2999</v>
      </c>
      <c r="F180" t="s">
        <v>90</v>
      </c>
      <c r="G180" t="s">
        <v>65</v>
      </c>
      <c r="H180">
        <v>26</v>
      </c>
      <c r="I180" t="str">
        <f>IFERROR(VLOOKUP(C180,Merchants!$A:$D,2,FALSE),"Merchant not found")</f>
        <v>Merchant_037</v>
      </c>
      <c r="J180" t="str">
        <f>IFERROR(VLOOKUP(C180,Merchants!$A:$D,3,FALSE),"Merchant not found")</f>
        <v>entertainment</v>
      </c>
      <c r="K180" t="str">
        <f>IFERROR(VLOOKUP(C180,Merchants!$A:$D,4,FALSE),"Merchant not found")</f>
        <v>South</v>
      </c>
    </row>
    <row r="181" spans="1:11" x14ac:dyDescent="0.35">
      <c r="A181" t="s">
        <v>426</v>
      </c>
      <c r="B181">
        <v>301</v>
      </c>
      <c r="C181">
        <v>14</v>
      </c>
      <c r="D181" t="s">
        <v>427</v>
      </c>
      <c r="E181">
        <v>149</v>
      </c>
      <c r="F181" t="s">
        <v>68</v>
      </c>
      <c r="G181" t="s">
        <v>65</v>
      </c>
      <c r="H181">
        <v>29</v>
      </c>
      <c r="I181" t="str">
        <f>IFERROR(VLOOKUP(C181,Merchants!$A:$D,2,FALSE),"Merchant not found")</f>
        <v>Merchant_014</v>
      </c>
      <c r="J181" t="str">
        <f>IFERROR(VLOOKUP(C181,Merchants!$A:$D,3,FALSE),"Merchant not found")</f>
        <v>grocery</v>
      </c>
      <c r="K181" t="str">
        <f>IFERROR(VLOOKUP(C181,Merchants!$A:$D,4,FALSE),"Merchant not found")</f>
        <v>East</v>
      </c>
    </row>
    <row r="182" spans="1:11" x14ac:dyDescent="0.35">
      <c r="A182" t="s">
        <v>428</v>
      </c>
      <c r="B182">
        <v>306</v>
      </c>
      <c r="C182">
        <v>1</v>
      </c>
      <c r="D182" t="s">
        <v>429</v>
      </c>
      <c r="E182">
        <v>299</v>
      </c>
      <c r="F182" t="s">
        <v>68</v>
      </c>
      <c r="G182" t="s">
        <v>91</v>
      </c>
      <c r="H182">
        <v>35</v>
      </c>
      <c r="I182" t="str">
        <f>IFERROR(VLOOKUP(C182,Merchants!$A:$D,2,FALSE),"Merchant not found")</f>
        <v>Merchant_001</v>
      </c>
      <c r="J182" t="str">
        <f>IFERROR(VLOOKUP(C182,Merchants!$A:$D,3,FALSE),"Merchant not found")</f>
        <v>ecommerce</v>
      </c>
      <c r="K182" t="str">
        <f>IFERROR(VLOOKUP(C182,Merchants!$A:$D,4,FALSE),"Merchant not found")</f>
        <v>South</v>
      </c>
    </row>
    <row r="183" spans="1:11" x14ac:dyDescent="0.35">
      <c r="A183" t="s">
        <v>430</v>
      </c>
      <c r="B183">
        <v>277</v>
      </c>
      <c r="C183">
        <v>17</v>
      </c>
      <c r="D183" t="s">
        <v>431</v>
      </c>
      <c r="E183">
        <v>299</v>
      </c>
      <c r="F183" t="s">
        <v>68</v>
      </c>
      <c r="G183" t="s">
        <v>65</v>
      </c>
      <c r="H183">
        <v>22</v>
      </c>
      <c r="I183" t="str">
        <f>IFERROR(VLOOKUP(C183,Merchants!$A:$D,2,FALSE),"Merchant not found")</f>
        <v>Merchant_017</v>
      </c>
      <c r="J183" t="str">
        <f>IFERROR(VLOOKUP(C183,Merchants!$A:$D,3,FALSE),"Merchant not found")</f>
        <v>grocery</v>
      </c>
      <c r="K183" t="str">
        <f>IFERROR(VLOOKUP(C183,Merchants!$A:$D,4,FALSE),"Merchant not found")</f>
        <v>North</v>
      </c>
    </row>
    <row r="184" spans="1:11" x14ac:dyDescent="0.35">
      <c r="A184" t="s">
        <v>432</v>
      </c>
      <c r="B184">
        <v>14</v>
      </c>
      <c r="C184">
        <v>9</v>
      </c>
      <c r="D184" t="s">
        <v>433</v>
      </c>
      <c r="E184">
        <v>499</v>
      </c>
      <c r="F184" t="s">
        <v>68</v>
      </c>
      <c r="G184" t="s">
        <v>65</v>
      </c>
      <c r="H184">
        <v>1</v>
      </c>
      <c r="I184" t="str">
        <f>IFERROR(VLOOKUP(C184,Merchants!$A:$D,2,FALSE),"Merchant not found")</f>
        <v>Merchant_009</v>
      </c>
      <c r="J184" t="str">
        <f>IFERROR(VLOOKUP(C184,Merchants!$A:$D,3,FALSE),"Merchant not found")</f>
        <v>ecommerce</v>
      </c>
      <c r="K184" t="str">
        <f>IFERROR(VLOOKUP(C184,Merchants!$A:$D,4,FALSE),"Merchant not found")</f>
        <v>North</v>
      </c>
    </row>
    <row r="185" spans="1:11" x14ac:dyDescent="0.35">
      <c r="A185" t="s">
        <v>434</v>
      </c>
      <c r="B185">
        <v>166</v>
      </c>
      <c r="C185">
        <v>2</v>
      </c>
      <c r="D185" t="s">
        <v>435</v>
      </c>
      <c r="E185">
        <v>299</v>
      </c>
      <c r="F185" t="s">
        <v>90</v>
      </c>
      <c r="G185" t="s">
        <v>65</v>
      </c>
      <c r="H185">
        <v>22</v>
      </c>
      <c r="I185" t="str">
        <f>IFERROR(VLOOKUP(C185,Merchants!$A:$D,2,FALSE),"Merchant not found")</f>
        <v>Merchant_002</v>
      </c>
      <c r="J185" t="str">
        <f>IFERROR(VLOOKUP(C185,Merchants!$A:$D,3,FALSE),"Merchant not found")</f>
        <v>grocery</v>
      </c>
      <c r="K185" t="str">
        <f>IFERROR(VLOOKUP(C185,Merchants!$A:$D,4,FALSE),"Merchant not found")</f>
        <v>West</v>
      </c>
    </row>
    <row r="186" spans="1:11" x14ac:dyDescent="0.35">
      <c r="A186" t="s">
        <v>436</v>
      </c>
      <c r="B186">
        <v>216</v>
      </c>
      <c r="C186">
        <v>34</v>
      </c>
      <c r="D186" t="s">
        <v>437</v>
      </c>
      <c r="E186">
        <v>299</v>
      </c>
      <c r="F186" t="s">
        <v>90</v>
      </c>
      <c r="G186" t="s">
        <v>65</v>
      </c>
      <c r="H186">
        <v>14</v>
      </c>
      <c r="I186" t="str">
        <f>IFERROR(VLOOKUP(C186,Merchants!$A:$D,2,FALSE),"Merchant not found")</f>
        <v>Merchant_034</v>
      </c>
      <c r="J186" t="str">
        <f>IFERROR(VLOOKUP(C186,Merchants!$A:$D,3,FALSE),"Merchant not found")</f>
        <v>travel</v>
      </c>
      <c r="K186" t="str">
        <f>IFERROR(VLOOKUP(C186,Merchants!$A:$D,4,FALSE),"Merchant not found")</f>
        <v>South</v>
      </c>
    </row>
    <row r="187" spans="1:11" x14ac:dyDescent="0.35">
      <c r="A187" t="s">
        <v>438</v>
      </c>
      <c r="B187">
        <v>230</v>
      </c>
      <c r="C187">
        <v>24</v>
      </c>
      <c r="D187" t="s">
        <v>439</v>
      </c>
      <c r="E187">
        <v>49</v>
      </c>
      <c r="F187" t="s">
        <v>68</v>
      </c>
      <c r="G187" t="s">
        <v>65</v>
      </c>
      <c r="H187">
        <v>65</v>
      </c>
      <c r="I187" t="str">
        <f>IFERROR(VLOOKUP(C187,Merchants!$A:$D,2,FALSE),"Merchant not found")</f>
        <v>Merchant_024</v>
      </c>
      <c r="J187" t="str">
        <f>IFERROR(VLOOKUP(C187,Merchants!$A:$D,3,FALSE),"Merchant not found")</f>
        <v>grocery</v>
      </c>
      <c r="K187" t="str">
        <f>IFERROR(VLOOKUP(C187,Merchants!$A:$D,4,FALSE),"Merchant not found")</f>
        <v>North</v>
      </c>
    </row>
    <row r="188" spans="1:11" x14ac:dyDescent="0.35">
      <c r="A188" t="s">
        <v>440</v>
      </c>
      <c r="B188">
        <v>258</v>
      </c>
      <c r="C188">
        <v>15</v>
      </c>
      <c r="D188" t="s">
        <v>441</v>
      </c>
      <c r="E188">
        <v>499</v>
      </c>
      <c r="F188" t="s">
        <v>64</v>
      </c>
      <c r="G188" t="s">
        <v>65</v>
      </c>
      <c r="H188">
        <v>78</v>
      </c>
      <c r="I188" t="str">
        <f>IFERROR(VLOOKUP(C188,Merchants!$A:$D,2,FALSE),"Merchant not found")</f>
        <v>Merchant_015</v>
      </c>
      <c r="J188" t="str">
        <f>IFERROR(VLOOKUP(C188,Merchants!$A:$D,3,FALSE),"Merchant not found")</f>
        <v>travel</v>
      </c>
      <c r="K188" t="str">
        <f>IFERROR(VLOOKUP(C188,Merchants!$A:$D,4,FALSE),"Merchant not found")</f>
        <v>North</v>
      </c>
    </row>
    <row r="189" spans="1:11" x14ac:dyDescent="0.35">
      <c r="A189" t="s">
        <v>442</v>
      </c>
      <c r="B189">
        <v>338</v>
      </c>
      <c r="C189">
        <v>34</v>
      </c>
      <c r="D189" t="s">
        <v>443</v>
      </c>
      <c r="E189">
        <v>49</v>
      </c>
      <c r="F189" t="s">
        <v>68</v>
      </c>
      <c r="G189" t="s">
        <v>65</v>
      </c>
      <c r="H189">
        <v>38</v>
      </c>
      <c r="I189" t="str">
        <f>IFERROR(VLOOKUP(C189,Merchants!$A:$D,2,FALSE),"Merchant not found")</f>
        <v>Merchant_034</v>
      </c>
      <c r="J189" t="str">
        <f>IFERROR(VLOOKUP(C189,Merchants!$A:$D,3,FALSE),"Merchant not found")</f>
        <v>travel</v>
      </c>
      <c r="K189" t="str">
        <f>IFERROR(VLOOKUP(C189,Merchants!$A:$D,4,FALSE),"Merchant not found")</f>
        <v>South</v>
      </c>
    </row>
    <row r="190" spans="1:11" x14ac:dyDescent="0.35">
      <c r="A190" t="s">
        <v>444</v>
      </c>
      <c r="B190">
        <v>32</v>
      </c>
      <c r="C190">
        <v>31</v>
      </c>
      <c r="D190" t="s">
        <v>445</v>
      </c>
      <c r="E190">
        <v>299</v>
      </c>
      <c r="F190" t="s">
        <v>68</v>
      </c>
      <c r="G190" t="s">
        <v>65</v>
      </c>
      <c r="H190">
        <v>51</v>
      </c>
      <c r="I190" t="str">
        <f>IFERROR(VLOOKUP(C190,Merchants!$A:$D,2,FALSE),"Merchant not found")</f>
        <v>Merchant_031</v>
      </c>
      <c r="J190" t="str">
        <f>IFERROR(VLOOKUP(C190,Merchants!$A:$D,3,FALSE),"Merchant not found")</f>
        <v>bill_payment</v>
      </c>
      <c r="K190" t="str">
        <f>IFERROR(VLOOKUP(C190,Merchants!$A:$D,4,FALSE),"Merchant not found")</f>
        <v>East</v>
      </c>
    </row>
    <row r="191" spans="1:11" x14ac:dyDescent="0.35">
      <c r="A191" t="s">
        <v>446</v>
      </c>
      <c r="B191">
        <v>252</v>
      </c>
      <c r="C191">
        <v>29</v>
      </c>
      <c r="D191" t="s">
        <v>447</v>
      </c>
      <c r="E191">
        <v>1499</v>
      </c>
      <c r="F191" t="s">
        <v>68</v>
      </c>
      <c r="G191" t="s">
        <v>65</v>
      </c>
      <c r="H191">
        <v>9</v>
      </c>
      <c r="I191" t="str">
        <f>IFERROR(VLOOKUP(C191,Merchants!$A:$D,2,FALSE),"Merchant not found")</f>
        <v>Merchant_029</v>
      </c>
      <c r="J191" t="str">
        <f>IFERROR(VLOOKUP(C191,Merchants!$A:$D,3,FALSE),"Merchant not found")</f>
        <v>ecommerce</v>
      </c>
      <c r="K191" t="str">
        <f>IFERROR(VLOOKUP(C191,Merchants!$A:$D,4,FALSE),"Merchant not found")</f>
        <v>North</v>
      </c>
    </row>
    <row r="192" spans="1:11" x14ac:dyDescent="0.35">
      <c r="A192" t="s">
        <v>448</v>
      </c>
      <c r="B192">
        <v>312</v>
      </c>
      <c r="C192">
        <v>10</v>
      </c>
      <c r="D192" t="s">
        <v>449</v>
      </c>
      <c r="E192">
        <v>799</v>
      </c>
      <c r="F192" t="s">
        <v>68</v>
      </c>
      <c r="G192" t="s">
        <v>65</v>
      </c>
      <c r="H192">
        <v>8</v>
      </c>
      <c r="I192" t="str">
        <f>IFERROR(VLOOKUP(C192,Merchants!$A:$D,2,FALSE),"Merchant not found")</f>
        <v>Merchant_010</v>
      </c>
      <c r="J192" t="str">
        <f>IFERROR(VLOOKUP(C192,Merchants!$A:$D,3,FALSE),"Merchant not found")</f>
        <v>grocery</v>
      </c>
      <c r="K192" t="str">
        <f>IFERROR(VLOOKUP(C192,Merchants!$A:$D,4,FALSE),"Merchant not found")</f>
        <v>West</v>
      </c>
    </row>
    <row r="193" spans="1:11" x14ac:dyDescent="0.35">
      <c r="A193" t="s">
        <v>450</v>
      </c>
      <c r="B193">
        <v>325</v>
      </c>
      <c r="C193">
        <v>38</v>
      </c>
      <c r="D193" t="s">
        <v>451</v>
      </c>
      <c r="E193">
        <v>1499</v>
      </c>
      <c r="F193" t="s">
        <v>73</v>
      </c>
      <c r="G193" t="s">
        <v>65</v>
      </c>
      <c r="H193">
        <v>70</v>
      </c>
      <c r="I193" t="str">
        <f>IFERROR(VLOOKUP(C193,Merchants!$A:$D,2,FALSE),"Merchant not found")</f>
        <v>Merchant_038</v>
      </c>
      <c r="J193" t="str">
        <f>IFERROR(VLOOKUP(C193,Merchants!$A:$D,3,FALSE),"Merchant not found")</f>
        <v>grocery</v>
      </c>
      <c r="K193" t="str">
        <f>IFERROR(VLOOKUP(C193,Merchants!$A:$D,4,FALSE),"Merchant not found")</f>
        <v>East</v>
      </c>
    </row>
    <row r="194" spans="1:11" x14ac:dyDescent="0.35">
      <c r="A194" t="s">
        <v>452</v>
      </c>
      <c r="B194">
        <v>306</v>
      </c>
      <c r="C194">
        <v>34</v>
      </c>
      <c r="D194" t="s">
        <v>453</v>
      </c>
      <c r="E194">
        <v>2999</v>
      </c>
      <c r="F194" t="s">
        <v>68</v>
      </c>
      <c r="G194" t="s">
        <v>65</v>
      </c>
      <c r="H194">
        <v>37</v>
      </c>
      <c r="I194" t="str">
        <f>IFERROR(VLOOKUP(C194,Merchants!$A:$D,2,FALSE),"Merchant not found")</f>
        <v>Merchant_034</v>
      </c>
      <c r="J194" t="str">
        <f>IFERROR(VLOOKUP(C194,Merchants!$A:$D,3,FALSE),"Merchant not found")</f>
        <v>travel</v>
      </c>
      <c r="K194" t="str">
        <f>IFERROR(VLOOKUP(C194,Merchants!$A:$D,4,FALSE),"Merchant not found")</f>
        <v>South</v>
      </c>
    </row>
    <row r="195" spans="1:11" x14ac:dyDescent="0.35">
      <c r="A195" t="s">
        <v>454</v>
      </c>
      <c r="B195">
        <v>221</v>
      </c>
      <c r="C195">
        <v>7</v>
      </c>
      <c r="D195" t="s">
        <v>455</v>
      </c>
      <c r="E195">
        <v>149</v>
      </c>
      <c r="F195" t="s">
        <v>73</v>
      </c>
      <c r="G195" t="s">
        <v>65</v>
      </c>
      <c r="H195">
        <v>89</v>
      </c>
      <c r="I195" t="str">
        <f>IFERROR(VLOOKUP(C195,Merchants!$A:$D,2,FALSE),"Merchant not found")</f>
        <v>Merchant_007</v>
      </c>
      <c r="J195" t="str">
        <f>IFERROR(VLOOKUP(C195,Merchants!$A:$D,3,FALSE),"Merchant not found")</f>
        <v>food_delivery</v>
      </c>
      <c r="K195" t="str">
        <f>IFERROR(VLOOKUP(C195,Merchants!$A:$D,4,FALSE),"Merchant not found")</f>
        <v>East</v>
      </c>
    </row>
    <row r="196" spans="1:11" x14ac:dyDescent="0.35">
      <c r="A196" t="s">
        <v>456</v>
      </c>
      <c r="B196">
        <v>283</v>
      </c>
      <c r="C196">
        <v>14</v>
      </c>
      <c r="D196" t="s">
        <v>382</v>
      </c>
      <c r="E196">
        <v>99</v>
      </c>
      <c r="F196" t="s">
        <v>64</v>
      </c>
      <c r="G196" t="s">
        <v>65</v>
      </c>
      <c r="H196">
        <v>55</v>
      </c>
      <c r="I196" t="str">
        <f>IFERROR(VLOOKUP(C196,Merchants!$A:$D,2,FALSE),"Merchant not found")</f>
        <v>Merchant_014</v>
      </c>
      <c r="J196" t="str">
        <f>IFERROR(VLOOKUP(C196,Merchants!$A:$D,3,FALSE),"Merchant not found")</f>
        <v>grocery</v>
      </c>
      <c r="K196" t="str">
        <f>IFERROR(VLOOKUP(C196,Merchants!$A:$D,4,FALSE),"Merchant not found")</f>
        <v>East</v>
      </c>
    </row>
    <row r="197" spans="1:11" x14ac:dyDescent="0.35">
      <c r="A197" t="s">
        <v>457</v>
      </c>
      <c r="B197">
        <v>174</v>
      </c>
      <c r="C197">
        <v>30</v>
      </c>
      <c r="D197" t="s">
        <v>458</v>
      </c>
      <c r="E197">
        <v>49</v>
      </c>
      <c r="F197" t="s">
        <v>68</v>
      </c>
      <c r="G197" t="s">
        <v>65</v>
      </c>
      <c r="H197">
        <v>51</v>
      </c>
      <c r="I197" t="str">
        <f>IFERROR(VLOOKUP(C197,Merchants!$A:$D,2,FALSE),"Merchant not found")</f>
        <v>Merchant_030</v>
      </c>
      <c r="J197" t="str">
        <f>IFERROR(VLOOKUP(C197,Merchants!$A:$D,3,FALSE),"Merchant not found")</f>
        <v>travel</v>
      </c>
      <c r="K197" t="str">
        <f>IFERROR(VLOOKUP(C197,Merchants!$A:$D,4,FALSE),"Merchant not found")</f>
        <v>West</v>
      </c>
    </row>
    <row r="198" spans="1:11" x14ac:dyDescent="0.35">
      <c r="A198" t="s">
        <v>459</v>
      </c>
      <c r="B198">
        <v>161</v>
      </c>
      <c r="C198">
        <v>28</v>
      </c>
      <c r="D198" t="s">
        <v>460</v>
      </c>
      <c r="E198">
        <v>49</v>
      </c>
      <c r="F198" t="s">
        <v>68</v>
      </c>
      <c r="G198" t="s">
        <v>65</v>
      </c>
      <c r="H198">
        <v>40</v>
      </c>
      <c r="I198" t="str">
        <f>IFERROR(VLOOKUP(C198,Merchants!$A:$D,2,FALSE),"Merchant not found")</f>
        <v>Merchant_028</v>
      </c>
      <c r="J198" t="str">
        <f>IFERROR(VLOOKUP(C198,Merchants!$A:$D,3,FALSE),"Merchant not found")</f>
        <v>ecommerce</v>
      </c>
      <c r="K198" t="str">
        <f>IFERROR(VLOOKUP(C198,Merchants!$A:$D,4,FALSE),"Merchant not found")</f>
        <v>South</v>
      </c>
    </row>
    <row r="199" spans="1:11" x14ac:dyDescent="0.35">
      <c r="A199" t="s">
        <v>461</v>
      </c>
      <c r="B199">
        <v>79</v>
      </c>
      <c r="C199">
        <v>31</v>
      </c>
      <c r="D199" t="s">
        <v>462</v>
      </c>
      <c r="E199">
        <v>99</v>
      </c>
      <c r="F199" t="s">
        <v>68</v>
      </c>
      <c r="G199" t="s">
        <v>65</v>
      </c>
      <c r="H199">
        <v>8</v>
      </c>
      <c r="I199" t="str">
        <f>IFERROR(VLOOKUP(C199,Merchants!$A:$D,2,FALSE),"Merchant not found")</f>
        <v>Merchant_031</v>
      </c>
      <c r="J199" t="str">
        <f>IFERROR(VLOOKUP(C199,Merchants!$A:$D,3,FALSE),"Merchant not found")</f>
        <v>bill_payment</v>
      </c>
      <c r="K199" t="str">
        <f>IFERROR(VLOOKUP(C199,Merchants!$A:$D,4,FALSE),"Merchant not found")</f>
        <v>East</v>
      </c>
    </row>
    <row r="200" spans="1:11" x14ac:dyDescent="0.35">
      <c r="A200" t="s">
        <v>463</v>
      </c>
      <c r="B200">
        <v>222</v>
      </c>
      <c r="C200">
        <v>7</v>
      </c>
      <c r="D200" t="s">
        <v>464</v>
      </c>
      <c r="E200">
        <v>149</v>
      </c>
      <c r="F200" t="s">
        <v>64</v>
      </c>
      <c r="G200" t="s">
        <v>65</v>
      </c>
      <c r="H200">
        <v>95</v>
      </c>
      <c r="I200" t="str">
        <f>IFERROR(VLOOKUP(C200,Merchants!$A:$D,2,FALSE),"Merchant not found")</f>
        <v>Merchant_007</v>
      </c>
      <c r="J200" t="str">
        <f>IFERROR(VLOOKUP(C200,Merchants!$A:$D,3,FALSE),"Merchant not found")</f>
        <v>food_delivery</v>
      </c>
      <c r="K200" t="str">
        <f>IFERROR(VLOOKUP(C200,Merchants!$A:$D,4,FALSE),"Merchant not found")</f>
        <v>East</v>
      </c>
    </row>
    <row r="201" spans="1:11" x14ac:dyDescent="0.35">
      <c r="A201" t="s">
        <v>465</v>
      </c>
      <c r="B201">
        <v>67</v>
      </c>
      <c r="C201">
        <v>36</v>
      </c>
      <c r="D201" t="s">
        <v>466</v>
      </c>
      <c r="E201">
        <v>99</v>
      </c>
      <c r="F201" t="s">
        <v>68</v>
      </c>
      <c r="G201" t="s">
        <v>65</v>
      </c>
      <c r="H201">
        <v>7</v>
      </c>
      <c r="I201" t="str">
        <f>IFERROR(VLOOKUP(C201,Merchants!$A:$D,2,FALSE),"Merchant not found")</f>
        <v>Merchant_036</v>
      </c>
      <c r="J201" t="str">
        <f>IFERROR(VLOOKUP(C201,Merchants!$A:$D,3,FALSE),"Merchant not found")</f>
        <v>entertainment</v>
      </c>
      <c r="K201" t="str">
        <f>IFERROR(VLOOKUP(C201,Merchants!$A:$D,4,FALSE),"Merchant not found")</f>
        <v>East</v>
      </c>
    </row>
    <row r="202" spans="1:11" x14ac:dyDescent="0.35">
      <c r="A202" t="s">
        <v>467</v>
      </c>
      <c r="B202">
        <v>169</v>
      </c>
      <c r="C202">
        <v>8</v>
      </c>
      <c r="D202" t="s">
        <v>468</v>
      </c>
      <c r="E202">
        <v>99</v>
      </c>
      <c r="F202" t="s">
        <v>68</v>
      </c>
      <c r="G202" t="s">
        <v>65</v>
      </c>
      <c r="H202">
        <v>52</v>
      </c>
      <c r="I202" t="str">
        <f>IFERROR(VLOOKUP(C202,Merchants!$A:$D,2,FALSE),"Merchant not found")</f>
        <v>Merchant_008</v>
      </c>
      <c r="J202" t="str">
        <f>IFERROR(VLOOKUP(C202,Merchants!$A:$D,3,FALSE),"Merchant not found")</f>
        <v>food_delivery</v>
      </c>
      <c r="K202" t="str">
        <f>IFERROR(VLOOKUP(C202,Merchants!$A:$D,4,FALSE),"Merchant not found")</f>
        <v>North</v>
      </c>
    </row>
    <row r="203" spans="1:11" x14ac:dyDescent="0.35">
      <c r="A203" t="s">
        <v>469</v>
      </c>
      <c r="B203">
        <v>217</v>
      </c>
      <c r="C203">
        <v>4</v>
      </c>
      <c r="D203" t="s">
        <v>470</v>
      </c>
      <c r="E203">
        <v>49</v>
      </c>
      <c r="F203" t="s">
        <v>68</v>
      </c>
      <c r="G203" t="s">
        <v>65</v>
      </c>
      <c r="H203">
        <v>36</v>
      </c>
      <c r="I203" t="str">
        <f>IFERROR(VLOOKUP(C203,Merchants!$A:$D,2,FALSE),"Merchant not found")</f>
        <v>Merchant_004</v>
      </c>
      <c r="J203" t="str">
        <f>IFERROR(VLOOKUP(C203,Merchants!$A:$D,3,FALSE),"Merchant not found")</f>
        <v>ecommerce</v>
      </c>
      <c r="K203" t="str">
        <f>IFERROR(VLOOKUP(C203,Merchants!$A:$D,4,FALSE),"Merchant not found")</f>
        <v>East</v>
      </c>
    </row>
    <row r="204" spans="1:11" x14ac:dyDescent="0.35">
      <c r="A204" t="s">
        <v>471</v>
      </c>
      <c r="B204">
        <v>54</v>
      </c>
      <c r="C204">
        <v>37</v>
      </c>
      <c r="D204" t="s">
        <v>472</v>
      </c>
      <c r="E204">
        <v>149</v>
      </c>
      <c r="F204" t="s">
        <v>68</v>
      </c>
      <c r="G204" t="s">
        <v>65</v>
      </c>
      <c r="H204">
        <v>64</v>
      </c>
      <c r="I204" t="str">
        <f>IFERROR(VLOOKUP(C204,Merchants!$A:$D,2,FALSE),"Merchant not found")</f>
        <v>Merchant_037</v>
      </c>
      <c r="J204" t="str">
        <f>IFERROR(VLOOKUP(C204,Merchants!$A:$D,3,FALSE),"Merchant not found")</f>
        <v>entertainment</v>
      </c>
      <c r="K204" t="str">
        <f>IFERROR(VLOOKUP(C204,Merchants!$A:$D,4,FALSE),"Merchant not found")</f>
        <v>South</v>
      </c>
    </row>
    <row r="205" spans="1:11" x14ac:dyDescent="0.35">
      <c r="A205" t="s">
        <v>473</v>
      </c>
      <c r="B205">
        <v>247</v>
      </c>
      <c r="C205">
        <v>15</v>
      </c>
      <c r="D205" t="s">
        <v>474</v>
      </c>
      <c r="E205">
        <v>49</v>
      </c>
      <c r="F205" t="s">
        <v>90</v>
      </c>
      <c r="G205" t="s">
        <v>65</v>
      </c>
      <c r="H205">
        <v>13</v>
      </c>
      <c r="I205" t="str">
        <f>IFERROR(VLOOKUP(C205,Merchants!$A:$D,2,FALSE),"Merchant not found")</f>
        <v>Merchant_015</v>
      </c>
      <c r="J205" t="str">
        <f>IFERROR(VLOOKUP(C205,Merchants!$A:$D,3,FALSE),"Merchant not found")</f>
        <v>travel</v>
      </c>
      <c r="K205" t="str">
        <f>IFERROR(VLOOKUP(C205,Merchants!$A:$D,4,FALSE),"Merchant not found")</f>
        <v>North</v>
      </c>
    </row>
    <row r="206" spans="1:11" x14ac:dyDescent="0.35">
      <c r="A206" t="s">
        <v>475</v>
      </c>
      <c r="B206">
        <v>59</v>
      </c>
      <c r="C206">
        <v>18</v>
      </c>
      <c r="D206" t="s">
        <v>476</v>
      </c>
      <c r="E206">
        <v>49</v>
      </c>
      <c r="F206" t="s">
        <v>90</v>
      </c>
      <c r="G206" t="s">
        <v>65</v>
      </c>
      <c r="H206">
        <v>73</v>
      </c>
      <c r="I206" t="str">
        <f>IFERROR(VLOOKUP(C206,Merchants!$A:$D,2,FALSE),"Merchant not found")</f>
        <v>Merchant_018</v>
      </c>
      <c r="J206" t="str">
        <f>IFERROR(VLOOKUP(C206,Merchants!$A:$D,3,FALSE),"Merchant not found")</f>
        <v>grocery</v>
      </c>
      <c r="K206" t="str">
        <f>IFERROR(VLOOKUP(C206,Merchants!$A:$D,4,FALSE),"Merchant not found")</f>
        <v>West</v>
      </c>
    </row>
    <row r="207" spans="1:11" x14ac:dyDescent="0.35">
      <c r="A207" t="s">
        <v>477</v>
      </c>
      <c r="B207">
        <v>288</v>
      </c>
      <c r="C207">
        <v>40</v>
      </c>
      <c r="D207" t="s">
        <v>478</v>
      </c>
      <c r="E207">
        <v>49</v>
      </c>
      <c r="F207" t="s">
        <v>68</v>
      </c>
      <c r="G207" t="s">
        <v>91</v>
      </c>
      <c r="H207">
        <v>78</v>
      </c>
      <c r="I207" t="str">
        <f>IFERROR(VLOOKUP(C207,Merchants!$A:$D,2,FALSE),"Merchant not found")</f>
        <v>Merchant_040</v>
      </c>
      <c r="J207" t="str">
        <f>IFERROR(VLOOKUP(C207,Merchants!$A:$D,3,FALSE),"Merchant not found")</f>
        <v>entertainment</v>
      </c>
      <c r="K207" t="str">
        <f>IFERROR(VLOOKUP(C207,Merchants!$A:$D,4,FALSE),"Merchant not found")</f>
        <v>South</v>
      </c>
    </row>
    <row r="208" spans="1:11" x14ac:dyDescent="0.35">
      <c r="A208" t="s">
        <v>479</v>
      </c>
      <c r="B208">
        <v>14</v>
      </c>
      <c r="C208">
        <v>39</v>
      </c>
      <c r="D208" t="s">
        <v>480</v>
      </c>
      <c r="E208">
        <v>799</v>
      </c>
      <c r="F208" t="s">
        <v>68</v>
      </c>
      <c r="G208" t="s">
        <v>65</v>
      </c>
      <c r="H208">
        <v>84</v>
      </c>
      <c r="I208" t="str">
        <f>IFERROR(VLOOKUP(C208,Merchants!$A:$D,2,FALSE),"Merchant not found")</f>
        <v>Merchant_039</v>
      </c>
      <c r="J208" t="str">
        <f>IFERROR(VLOOKUP(C208,Merchants!$A:$D,3,FALSE),"Merchant not found")</f>
        <v>entertainment</v>
      </c>
      <c r="K208" t="str">
        <f>IFERROR(VLOOKUP(C208,Merchants!$A:$D,4,FALSE),"Merchant not found")</f>
        <v>North</v>
      </c>
    </row>
    <row r="209" spans="1:11" x14ac:dyDescent="0.35">
      <c r="A209" t="s">
        <v>481</v>
      </c>
      <c r="B209">
        <v>15</v>
      </c>
      <c r="C209">
        <v>12</v>
      </c>
      <c r="D209" t="s">
        <v>482</v>
      </c>
      <c r="E209">
        <v>149</v>
      </c>
      <c r="F209" t="s">
        <v>68</v>
      </c>
      <c r="G209" t="s">
        <v>65</v>
      </c>
      <c r="H209">
        <v>34</v>
      </c>
      <c r="I209" t="str">
        <f>IFERROR(VLOOKUP(C209,Merchants!$A:$D,2,FALSE),"Merchant not found")</f>
        <v>Merchant_012</v>
      </c>
      <c r="J209" t="str">
        <f>IFERROR(VLOOKUP(C209,Merchants!$A:$D,3,FALSE),"Merchant not found")</f>
        <v>ecommerce</v>
      </c>
      <c r="K209" t="str">
        <f>IFERROR(VLOOKUP(C209,Merchants!$A:$D,4,FALSE),"Merchant not found")</f>
        <v>East</v>
      </c>
    </row>
    <row r="210" spans="1:11" x14ac:dyDescent="0.35">
      <c r="A210" t="s">
        <v>483</v>
      </c>
      <c r="B210">
        <v>174</v>
      </c>
      <c r="C210">
        <v>23</v>
      </c>
      <c r="D210" t="s">
        <v>484</v>
      </c>
      <c r="E210">
        <v>149</v>
      </c>
      <c r="F210" t="s">
        <v>68</v>
      </c>
      <c r="G210" t="s">
        <v>65</v>
      </c>
      <c r="H210">
        <v>0</v>
      </c>
      <c r="I210" t="str">
        <f>IFERROR(VLOOKUP(C210,Merchants!$A:$D,2,FALSE),"Merchant not found")</f>
        <v>Merchant_023</v>
      </c>
      <c r="J210" t="str">
        <f>IFERROR(VLOOKUP(C210,Merchants!$A:$D,3,FALSE),"Merchant not found")</f>
        <v>travel</v>
      </c>
      <c r="K210" t="str">
        <f>IFERROR(VLOOKUP(C210,Merchants!$A:$D,4,FALSE),"Merchant not found")</f>
        <v>North</v>
      </c>
    </row>
    <row r="211" spans="1:11" x14ac:dyDescent="0.35">
      <c r="A211" t="s">
        <v>485</v>
      </c>
      <c r="B211">
        <v>337</v>
      </c>
      <c r="C211">
        <v>26</v>
      </c>
      <c r="D211" t="s">
        <v>486</v>
      </c>
      <c r="E211">
        <v>49</v>
      </c>
      <c r="F211" t="s">
        <v>68</v>
      </c>
      <c r="G211" t="s">
        <v>65</v>
      </c>
      <c r="H211">
        <v>8</v>
      </c>
      <c r="I211" t="str">
        <f>IFERROR(VLOOKUP(C211,Merchants!$A:$D,2,FALSE),"Merchant not found")</f>
        <v>Merchant_026</v>
      </c>
      <c r="J211" t="str">
        <f>IFERROR(VLOOKUP(C211,Merchants!$A:$D,3,FALSE),"Merchant not found")</f>
        <v>food_delivery</v>
      </c>
      <c r="K211" t="str">
        <f>IFERROR(VLOOKUP(C211,Merchants!$A:$D,4,FALSE),"Merchant not found")</f>
        <v>East</v>
      </c>
    </row>
    <row r="212" spans="1:11" x14ac:dyDescent="0.35">
      <c r="A212" t="s">
        <v>487</v>
      </c>
      <c r="B212">
        <v>16</v>
      </c>
      <c r="C212">
        <v>6</v>
      </c>
      <c r="D212" t="s">
        <v>488</v>
      </c>
      <c r="E212">
        <v>1499</v>
      </c>
      <c r="F212" t="s">
        <v>68</v>
      </c>
      <c r="G212" t="s">
        <v>65</v>
      </c>
      <c r="H212">
        <v>95</v>
      </c>
      <c r="I212" t="str">
        <f>IFERROR(VLOOKUP(C212,Merchants!$A:$D,2,FALSE),"Merchant not found")</f>
        <v>Merchant_006</v>
      </c>
      <c r="J212" t="str">
        <f>IFERROR(VLOOKUP(C212,Merchants!$A:$D,3,FALSE),"Merchant not found")</f>
        <v>food_delivery</v>
      </c>
      <c r="K212" t="str">
        <f>IFERROR(VLOOKUP(C212,Merchants!$A:$D,4,FALSE),"Merchant not found")</f>
        <v>South</v>
      </c>
    </row>
    <row r="213" spans="1:11" x14ac:dyDescent="0.35">
      <c r="A213" t="s">
        <v>489</v>
      </c>
      <c r="B213">
        <v>215</v>
      </c>
      <c r="C213">
        <v>30</v>
      </c>
      <c r="D213" t="s">
        <v>490</v>
      </c>
      <c r="E213">
        <v>49</v>
      </c>
      <c r="F213" t="s">
        <v>68</v>
      </c>
      <c r="G213" t="s">
        <v>65</v>
      </c>
      <c r="H213">
        <v>43</v>
      </c>
      <c r="I213" t="str">
        <f>IFERROR(VLOOKUP(C213,Merchants!$A:$D,2,FALSE),"Merchant not found")</f>
        <v>Merchant_030</v>
      </c>
      <c r="J213" t="str">
        <f>IFERROR(VLOOKUP(C213,Merchants!$A:$D,3,FALSE),"Merchant not found")</f>
        <v>travel</v>
      </c>
      <c r="K213" t="str">
        <f>IFERROR(VLOOKUP(C213,Merchants!$A:$D,4,FALSE),"Merchant not found")</f>
        <v>West</v>
      </c>
    </row>
    <row r="214" spans="1:11" x14ac:dyDescent="0.35">
      <c r="A214" t="s">
        <v>491</v>
      </c>
      <c r="B214">
        <v>167</v>
      </c>
      <c r="C214">
        <v>37</v>
      </c>
      <c r="D214" t="s">
        <v>492</v>
      </c>
      <c r="E214">
        <v>99</v>
      </c>
      <c r="F214" t="s">
        <v>68</v>
      </c>
      <c r="G214" t="s">
        <v>65</v>
      </c>
      <c r="H214">
        <v>76</v>
      </c>
      <c r="I214" t="str">
        <f>IFERROR(VLOOKUP(C214,Merchants!$A:$D,2,FALSE),"Merchant not found")</f>
        <v>Merchant_037</v>
      </c>
      <c r="J214" t="str">
        <f>IFERROR(VLOOKUP(C214,Merchants!$A:$D,3,FALSE),"Merchant not found")</f>
        <v>entertainment</v>
      </c>
      <c r="K214" t="str">
        <f>IFERROR(VLOOKUP(C214,Merchants!$A:$D,4,FALSE),"Merchant not found")</f>
        <v>South</v>
      </c>
    </row>
    <row r="215" spans="1:11" x14ac:dyDescent="0.35">
      <c r="A215" t="s">
        <v>493</v>
      </c>
      <c r="B215">
        <v>81</v>
      </c>
      <c r="C215">
        <v>40</v>
      </c>
      <c r="D215" t="s">
        <v>494</v>
      </c>
      <c r="E215">
        <v>49</v>
      </c>
      <c r="F215" t="s">
        <v>68</v>
      </c>
      <c r="G215" t="s">
        <v>65</v>
      </c>
      <c r="H215">
        <v>6</v>
      </c>
      <c r="I215" t="str">
        <f>IFERROR(VLOOKUP(C215,Merchants!$A:$D,2,FALSE),"Merchant not found")</f>
        <v>Merchant_040</v>
      </c>
      <c r="J215" t="str">
        <f>IFERROR(VLOOKUP(C215,Merchants!$A:$D,3,FALSE),"Merchant not found")</f>
        <v>entertainment</v>
      </c>
      <c r="K215" t="str">
        <f>IFERROR(VLOOKUP(C215,Merchants!$A:$D,4,FALSE),"Merchant not found")</f>
        <v>South</v>
      </c>
    </row>
    <row r="216" spans="1:11" x14ac:dyDescent="0.35">
      <c r="A216" t="s">
        <v>495</v>
      </c>
      <c r="B216">
        <v>227</v>
      </c>
      <c r="C216">
        <v>28</v>
      </c>
      <c r="D216" t="s">
        <v>496</v>
      </c>
      <c r="E216">
        <v>99</v>
      </c>
      <c r="F216" t="s">
        <v>68</v>
      </c>
      <c r="G216" t="s">
        <v>65</v>
      </c>
      <c r="H216">
        <v>62</v>
      </c>
      <c r="I216" t="str">
        <f>IFERROR(VLOOKUP(C216,Merchants!$A:$D,2,FALSE),"Merchant not found")</f>
        <v>Merchant_028</v>
      </c>
      <c r="J216" t="str">
        <f>IFERROR(VLOOKUP(C216,Merchants!$A:$D,3,FALSE),"Merchant not found")</f>
        <v>ecommerce</v>
      </c>
      <c r="K216" t="str">
        <f>IFERROR(VLOOKUP(C216,Merchants!$A:$D,4,FALSE),"Merchant not found")</f>
        <v>South</v>
      </c>
    </row>
    <row r="217" spans="1:11" x14ac:dyDescent="0.35">
      <c r="A217" t="s">
        <v>497</v>
      </c>
      <c r="B217">
        <v>140</v>
      </c>
      <c r="C217">
        <v>14</v>
      </c>
      <c r="D217" t="s">
        <v>498</v>
      </c>
      <c r="E217">
        <v>299</v>
      </c>
      <c r="F217" t="s">
        <v>64</v>
      </c>
      <c r="G217" t="s">
        <v>65</v>
      </c>
      <c r="H217">
        <v>96</v>
      </c>
      <c r="I217" t="str">
        <f>IFERROR(VLOOKUP(C217,Merchants!$A:$D,2,FALSE),"Merchant not found")</f>
        <v>Merchant_014</v>
      </c>
      <c r="J217" t="str">
        <f>IFERROR(VLOOKUP(C217,Merchants!$A:$D,3,FALSE),"Merchant not found")</f>
        <v>grocery</v>
      </c>
      <c r="K217" t="str">
        <f>IFERROR(VLOOKUP(C217,Merchants!$A:$D,4,FALSE),"Merchant not found")</f>
        <v>East</v>
      </c>
    </row>
    <row r="218" spans="1:11" x14ac:dyDescent="0.35">
      <c r="A218" t="s">
        <v>499</v>
      </c>
      <c r="B218">
        <v>221</v>
      </c>
      <c r="C218">
        <v>8</v>
      </c>
      <c r="D218" t="s">
        <v>500</v>
      </c>
      <c r="E218">
        <v>299</v>
      </c>
      <c r="F218" t="s">
        <v>68</v>
      </c>
      <c r="G218" t="s">
        <v>65</v>
      </c>
      <c r="H218">
        <v>36</v>
      </c>
      <c r="I218" t="str">
        <f>IFERROR(VLOOKUP(C218,Merchants!$A:$D,2,FALSE),"Merchant not found")</f>
        <v>Merchant_008</v>
      </c>
      <c r="J218" t="str">
        <f>IFERROR(VLOOKUP(C218,Merchants!$A:$D,3,FALSE),"Merchant not found")</f>
        <v>food_delivery</v>
      </c>
      <c r="K218" t="str">
        <f>IFERROR(VLOOKUP(C218,Merchants!$A:$D,4,FALSE),"Merchant not found")</f>
        <v>North</v>
      </c>
    </row>
    <row r="219" spans="1:11" x14ac:dyDescent="0.35">
      <c r="A219" t="s">
        <v>501</v>
      </c>
      <c r="B219">
        <v>250</v>
      </c>
      <c r="C219">
        <v>34</v>
      </c>
      <c r="D219" t="s">
        <v>502</v>
      </c>
      <c r="E219">
        <v>299</v>
      </c>
      <c r="F219" t="s">
        <v>64</v>
      </c>
      <c r="G219" t="s">
        <v>65</v>
      </c>
      <c r="H219">
        <v>85</v>
      </c>
      <c r="I219" t="str">
        <f>IFERROR(VLOOKUP(C219,Merchants!$A:$D,2,FALSE),"Merchant not found")</f>
        <v>Merchant_034</v>
      </c>
      <c r="J219" t="str">
        <f>IFERROR(VLOOKUP(C219,Merchants!$A:$D,3,FALSE),"Merchant not found")</f>
        <v>travel</v>
      </c>
      <c r="K219" t="str">
        <f>IFERROR(VLOOKUP(C219,Merchants!$A:$D,4,FALSE),"Merchant not found")</f>
        <v>South</v>
      </c>
    </row>
    <row r="220" spans="1:11" x14ac:dyDescent="0.35">
      <c r="A220" t="s">
        <v>503</v>
      </c>
      <c r="B220">
        <v>203</v>
      </c>
      <c r="C220">
        <v>39</v>
      </c>
      <c r="D220" t="s">
        <v>504</v>
      </c>
      <c r="E220">
        <v>49</v>
      </c>
      <c r="F220" t="s">
        <v>68</v>
      </c>
      <c r="G220" t="s">
        <v>65</v>
      </c>
      <c r="H220">
        <v>7</v>
      </c>
      <c r="I220" t="str">
        <f>IFERROR(VLOOKUP(C220,Merchants!$A:$D,2,FALSE),"Merchant not found")</f>
        <v>Merchant_039</v>
      </c>
      <c r="J220" t="str">
        <f>IFERROR(VLOOKUP(C220,Merchants!$A:$D,3,FALSE),"Merchant not found")</f>
        <v>entertainment</v>
      </c>
      <c r="K220" t="str">
        <f>IFERROR(VLOOKUP(C220,Merchants!$A:$D,4,FALSE),"Merchant not found")</f>
        <v>North</v>
      </c>
    </row>
    <row r="221" spans="1:11" x14ac:dyDescent="0.35">
      <c r="A221" t="s">
        <v>505</v>
      </c>
      <c r="B221">
        <v>109</v>
      </c>
      <c r="C221">
        <v>9</v>
      </c>
      <c r="D221" t="s">
        <v>506</v>
      </c>
      <c r="E221">
        <v>499</v>
      </c>
      <c r="F221" t="s">
        <v>64</v>
      </c>
      <c r="G221" t="s">
        <v>65</v>
      </c>
      <c r="H221">
        <v>97</v>
      </c>
      <c r="I221" t="str">
        <f>IFERROR(VLOOKUP(C221,Merchants!$A:$D,2,FALSE),"Merchant not found")</f>
        <v>Merchant_009</v>
      </c>
      <c r="J221" t="str">
        <f>IFERROR(VLOOKUP(C221,Merchants!$A:$D,3,FALSE),"Merchant not found")</f>
        <v>ecommerce</v>
      </c>
      <c r="K221" t="str">
        <f>IFERROR(VLOOKUP(C221,Merchants!$A:$D,4,FALSE),"Merchant not found")</f>
        <v>North</v>
      </c>
    </row>
    <row r="222" spans="1:11" x14ac:dyDescent="0.35">
      <c r="A222" t="s">
        <v>507</v>
      </c>
      <c r="B222">
        <v>62</v>
      </c>
      <c r="C222">
        <v>1</v>
      </c>
      <c r="D222" t="s">
        <v>508</v>
      </c>
      <c r="E222">
        <v>4999</v>
      </c>
      <c r="F222" t="s">
        <v>64</v>
      </c>
      <c r="G222" t="s">
        <v>65</v>
      </c>
      <c r="H222">
        <v>63</v>
      </c>
      <c r="I222" t="str">
        <f>IFERROR(VLOOKUP(C222,Merchants!$A:$D,2,FALSE),"Merchant not found")</f>
        <v>Merchant_001</v>
      </c>
      <c r="J222" t="str">
        <f>IFERROR(VLOOKUP(C222,Merchants!$A:$D,3,FALSE),"Merchant not found")</f>
        <v>ecommerce</v>
      </c>
      <c r="K222" t="str">
        <f>IFERROR(VLOOKUP(C222,Merchants!$A:$D,4,FALSE),"Merchant not found")</f>
        <v>South</v>
      </c>
    </row>
    <row r="223" spans="1:11" x14ac:dyDescent="0.35">
      <c r="A223" t="s">
        <v>509</v>
      </c>
      <c r="B223">
        <v>67</v>
      </c>
      <c r="C223">
        <v>25</v>
      </c>
      <c r="D223" t="s">
        <v>510</v>
      </c>
      <c r="E223">
        <v>49</v>
      </c>
      <c r="F223" t="s">
        <v>68</v>
      </c>
      <c r="G223" t="s">
        <v>65</v>
      </c>
      <c r="H223">
        <v>68</v>
      </c>
      <c r="I223" t="str">
        <f>IFERROR(VLOOKUP(C223,Merchants!$A:$D,2,FALSE),"Merchant not found")</f>
        <v>Merchant_025</v>
      </c>
      <c r="J223" t="str">
        <f>IFERROR(VLOOKUP(C223,Merchants!$A:$D,3,FALSE),"Merchant not found")</f>
        <v>travel</v>
      </c>
      <c r="K223" t="str">
        <f>IFERROR(VLOOKUP(C223,Merchants!$A:$D,4,FALSE),"Merchant not found")</f>
        <v>South</v>
      </c>
    </row>
    <row r="224" spans="1:11" x14ac:dyDescent="0.35">
      <c r="A224" t="s">
        <v>511</v>
      </c>
      <c r="B224">
        <v>287</v>
      </c>
      <c r="C224">
        <v>23</v>
      </c>
      <c r="D224" t="s">
        <v>512</v>
      </c>
      <c r="E224">
        <v>49</v>
      </c>
      <c r="F224" t="s">
        <v>68</v>
      </c>
      <c r="G224" t="s">
        <v>65</v>
      </c>
      <c r="H224">
        <v>9</v>
      </c>
      <c r="I224" t="str">
        <f>IFERROR(VLOOKUP(C224,Merchants!$A:$D,2,FALSE),"Merchant not found")</f>
        <v>Merchant_023</v>
      </c>
      <c r="J224" t="str">
        <f>IFERROR(VLOOKUP(C224,Merchants!$A:$D,3,FALSE),"Merchant not found")</f>
        <v>travel</v>
      </c>
      <c r="K224" t="str">
        <f>IFERROR(VLOOKUP(C224,Merchants!$A:$D,4,FALSE),"Merchant not found")</f>
        <v>North</v>
      </c>
    </row>
    <row r="225" spans="1:11" x14ac:dyDescent="0.35">
      <c r="A225" t="s">
        <v>513</v>
      </c>
      <c r="B225">
        <v>224</v>
      </c>
      <c r="C225">
        <v>2</v>
      </c>
      <c r="D225" t="s">
        <v>514</v>
      </c>
      <c r="E225">
        <v>49</v>
      </c>
      <c r="F225" t="s">
        <v>90</v>
      </c>
      <c r="G225" t="s">
        <v>65</v>
      </c>
      <c r="H225">
        <v>58</v>
      </c>
      <c r="I225" t="str">
        <f>IFERROR(VLOOKUP(C225,Merchants!$A:$D,2,FALSE),"Merchant not found")</f>
        <v>Merchant_002</v>
      </c>
      <c r="J225" t="str">
        <f>IFERROR(VLOOKUP(C225,Merchants!$A:$D,3,FALSE),"Merchant not found")</f>
        <v>grocery</v>
      </c>
      <c r="K225" t="str">
        <f>IFERROR(VLOOKUP(C225,Merchants!$A:$D,4,FALSE),"Merchant not found")</f>
        <v>West</v>
      </c>
    </row>
    <row r="226" spans="1:11" x14ac:dyDescent="0.35">
      <c r="A226" t="s">
        <v>515</v>
      </c>
      <c r="B226">
        <v>161</v>
      </c>
      <c r="C226">
        <v>37</v>
      </c>
      <c r="D226" t="s">
        <v>516</v>
      </c>
      <c r="E226">
        <v>299</v>
      </c>
      <c r="F226" t="s">
        <v>68</v>
      </c>
      <c r="G226" t="s">
        <v>65</v>
      </c>
      <c r="H226">
        <v>54</v>
      </c>
      <c r="I226" t="str">
        <f>IFERROR(VLOOKUP(C226,Merchants!$A:$D,2,FALSE),"Merchant not found")</f>
        <v>Merchant_037</v>
      </c>
      <c r="J226" t="str">
        <f>IFERROR(VLOOKUP(C226,Merchants!$A:$D,3,FALSE),"Merchant not found")</f>
        <v>entertainment</v>
      </c>
      <c r="K226" t="str">
        <f>IFERROR(VLOOKUP(C226,Merchants!$A:$D,4,FALSE),"Merchant not found")</f>
        <v>South</v>
      </c>
    </row>
    <row r="227" spans="1:11" x14ac:dyDescent="0.35">
      <c r="A227" t="s">
        <v>517</v>
      </c>
      <c r="B227">
        <v>328</v>
      </c>
      <c r="C227">
        <v>27</v>
      </c>
      <c r="D227" t="s">
        <v>518</v>
      </c>
      <c r="E227">
        <v>49</v>
      </c>
      <c r="F227" t="s">
        <v>68</v>
      </c>
      <c r="G227" t="s">
        <v>116</v>
      </c>
      <c r="H227">
        <v>37</v>
      </c>
      <c r="I227" t="str">
        <f>IFERROR(VLOOKUP(C227,Merchants!$A:$D,2,FALSE),"Merchant not found")</f>
        <v>Merchant_027</v>
      </c>
      <c r="J227" t="str">
        <f>IFERROR(VLOOKUP(C227,Merchants!$A:$D,3,FALSE),"Merchant not found")</f>
        <v>ecommerce</v>
      </c>
      <c r="K227" t="str">
        <f>IFERROR(VLOOKUP(C227,Merchants!$A:$D,4,FALSE),"Merchant not found")</f>
        <v>North</v>
      </c>
    </row>
    <row r="228" spans="1:11" x14ac:dyDescent="0.35">
      <c r="A228" t="s">
        <v>519</v>
      </c>
      <c r="B228">
        <v>167</v>
      </c>
      <c r="C228">
        <v>11</v>
      </c>
      <c r="D228" t="s">
        <v>520</v>
      </c>
      <c r="E228">
        <v>1499</v>
      </c>
      <c r="F228" t="s">
        <v>90</v>
      </c>
      <c r="G228" t="s">
        <v>91</v>
      </c>
      <c r="H228">
        <v>79</v>
      </c>
      <c r="I228" t="str">
        <f>IFERROR(VLOOKUP(C228,Merchants!$A:$D,2,FALSE),"Merchant not found")</f>
        <v>Merchant_011</v>
      </c>
      <c r="J228" t="str">
        <f>IFERROR(VLOOKUP(C228,Merchants!$A:$D,3,FALSE),"Merchant not found")</f>
        <v>ecommerce</v>
      </c>
      <c r="K228" t="str">
        <f>IFERROR(VLOOKUP(C228,Merchants!$A:$D,4,FALSE),"Merchant not found")</f>
        <v>North</v>
      </c>
    </row>
    <row r="229" spans="1:11" x14ac:dyDescent="0.35">
      <c r="A229" t="s">
        <v>521</v>
      </c>
      <c r="B229">
        <v>186</v>
      </c>
      <c r="C229">
        <v>6</v>
      </c>
      <c r="D229" t="s">
        <v>522</v>
      </c>
      <c r="E229">
        <v>49</v>
      </c>
      <c r="F229" t="s">
        <v>64</v>
      </c>
      <c r="G229" t="s">
        <v>65</v>
      </c>
      <c r="H229">
        <v>55</v>
      </c>
      <c r="I229" t="str">
        <f>IFERROR(VLOOKUP(C229,Merchants!$A:$D,2,FALSE),"Merchant not found")</f>
        <v>Merchant_006</v>
      </c>
      <c r="J229" t="str">
        <f>IFERROR(VLOOKUP(C229,Merchants!$A:$D,3,FALSE),"Merchant not found")</f>
        <v>food_delivery</v>
      </c>
      <c r="K229" t="str">
        <f>IFERROR(VLOOKUP(C229,Merchants!$A:$D,4,FALSE),"Merchant not found")</f>
        <v>South</v>
      </c>
    </row>
    <row r="230" spans="1:11" x14ac:dyDescent="0.35">
      <c r="A230" t="s">
        <v>523</v>
      </c>
      <c r="B230">
        <v>224</v>
      </c>
      <c r="C230">
        <v>38</v>
      </c>
      <c r="D230" t="s">
        <v>524</v>
      </c>
      <c r="E230">
        <v>299</v>
      </c>
      <c r="F230" t="s">
        <v>64</v>
      </c>
      <c r="G230" t="s">
        <v>91</v>
      </c>
      <c r="H230">
        <v>51</v>
      </c>
      <c r="I230" t="str">
        <f>IFERROR(VLOOKUP(C230,Merchants!$A:$D,2,FALSE),"Merchant not found")</f>
        <v>Merchant_038</v>
      </c>
      <c r="J230" t="str">
        <f>IFERROR(VLOOKUP(C230,Merchants!$A:$D,3,FALSE),"Merchant not found")</f>
        <v>grocery</v>
      </c>
      <c r="K230" t="str">
        <f>IFERROR(VLOOKUP(C230,Merchants!$A:$D,4,FALSE),"Merchant not found")</f>
        <v>East</v>
      </c>
    </row>
    <row r="231" spans="1:11" x14ac:dyDescent="0.35">
      <c r="A231" t="s">
        <v>525</v>
      </c>
      <c r="B231">
        <v>159</v>
      </c>
      <c r="C231">
        <v>22</v>
      </c>
      <c r="D231" t="s">
        <v>526</v>
      </c>
      <c r="E231">
        <v>799</v>
      </c>
      <c r="F231" t="s">
        <v>68</v>
      </c>
      <c r="G231" t="s">
        <v>65</v>
      </c>
      <c r="H231">
        <v>28</v>
      </c>
      <c r="I231" t="str">
        <f>IFERROR(VLOOKUP(C231,Merchants!$A:$D,2,FALSE),"Merchant not found")</f>
        <v>Merchant_022</v>
      </c>
      <c r="J231" t="str">
        <f>IFERROR(VLOOKUP(C231,Merchants!$A:$D,3,FALSE),"Merchant not found")</f>
        <v>travel</v>
      </c>
      <c r="K231" t="str">
        <f>IFERROR(VLOOKUP(C231,Merchants!$A:$D,4,FALSE),"Merchant not found")</f>
        <v>South</v>
      </c>
    </row>
    <row r="232" spans="1:11" x14ac:dyDescent="0.35">
      <c r="A232" t="s">
        <v>527</v>
      </c>
      <c r="B232">
        <v>262</v>
      </c>
      <c r="C232">
        <v>8</v>
      </c>
      <c r="D232" t="s">
        <v>528</v>
      </c>
      <c r="E232">
        <v>149</v>
      </c>
      <c r="F232" t="s">
        <v>68</v>
      </c>
      <c r="G232" t="s">
        <v>65</v>
      </c>
      <c r="H232">
        <v>67</v>
      </c>
      <c r="I232" t="str">
        <f>IFERROR(VLOOKUP(C232,Merchants!$A:$D,2,FALSE),"Merchant not found")</f>
        <v>Merchant_008</v>
      </c>
      <c r="J232" t="str">
        <f>IFERROR(VLOOKUP(C232,Merchants!$A:$D,3,FALSE),"Merchant not found")</f>
        <v>food_delivery</v>
      </c>
      <c r="K232" t="str">
        <f>IFERROR(VLOOKUP(C232,Merchants!$A:$D,4,FALSE),"Merchant not found")</f>
        <v>North</v>
      </c>
    </row>
    <row r="233" spans="1:11" x14ac:dyDescent="0.35">
      <c r="A233" t="s">
        <v>529</v>
      </c>
      <c r="B233">
        <v>179</v>
      </c>
      <c r="C233">
        <v>23</v>
      </c>
      <c r="D233" t="s">
        <v>530</v>
      </c>
      <c r="E233">
        <v>49</v>
      </c>
      <c r="F233" t="s">
        <v>64</v>
      </c>
      <c r="G233" t="s">
        <v>65</v>
      </c>
      <c r="H233">
        <v>93</v>
      </c>
      <c r="I233" t="str">
        <f>IFERROR(VLOOKUP(C233,Merchants!$A:$D,2,FALSE),"Merchant not found")</f>
        <v>Merchant_023</v>
      </c>
      <c r="J233" t="str">
        <f>IFERROR(VLOOKUP(C233,Merchants!$A:$D,3,FALSE),"Merchant not found")</f>
        <v>travel</v>
      </c>
      <c r="K233" t="str">
        <f>IFERROR(VLOOKUP(C233,Merchants!$A:$D,4,FALSE),"Merchant not found")</f>
        <v>North</v>
      </c>
    </row>
    <row r="234" spans="1:11" x14ac:dyDescent="0.35">
      <c r="A234" t="s">
        <v>531</v>
      </c>
      <c r="B234">
        <v>76</v>
      </c>
      <c r="C234">
        <v>16</v>
      </c>
      <c r="D234" t="s">
        <v>532</v>
      </c>
      <c r="E234">
        <v>299</v>
      </c>
      <c r="F234" t="s">
        <v>68</v>
      </c>
      <c r="G234" t="s">
        <v>65</v>
      </c>
      <c r="H234">
        <v>13</v>
      </c>
      <c r="I234" t="str">
        <f>IFERROR(VLOOKUP(C234,Merchants!$A:$D,2,FALSE),"Merchant not found")</f>
        <v>Merchant_016</v>
      </c>
      <c r="J234" t="str">
        <f>IFERROR(VLOOKUP(C234,Merchants!$A:$D,3,FALSE),"Merchant not found")</f>
        <v>bill_payment</v>
      </c>
      <c r="K234" t="str">
        <f>IFERROR(VLOOKUP(C234,Merchants!$A:$D,4,FALSE),"Merchant not found")</f>
        <v>West</v>
      </c>
    </row>
    <row r="235" spans="1:11" x14ac:dyDescent="0.35">
      <c r="A235" t="s">
        <v>533</v>
      </c>
      <c r="B235">
        <v>89</v>
      </c>
      <c r="C235">
        <v>39</v>
      </c>
      <c r="D235" t="s">
        <v>534</v>
      </c>
      <c r="E235">
        <v>299</v>
      </c>
      <c r="F235" t="s">
        <v>68</v>
      </c>
      <c r="G235" t="s">
        <v>65</v>
      </c>
      <c r="H235">
        <v>19</v>
      </c>
      <c r="I235" t="str">
        <f>IFERROR(VLOOKUP(C235,Merchants!$A:$D,2,FALSE),"Merchant not found")</f>
        <v>Merchant_039</v>
      </c>
      <c r="J235" t="str">
        <f>IFERROR(VLOOKUP(C235,Merchants!$A:$D,3,FALSE),"Merchant not found")</f>
        <v>entertainment</v>
      </c>
      <c r="K235" t="str">
        <f>IFERROR(VLOOKUP(C235,Merchants!$A:$D,4,FALSE),"Merchant not found")</f>
        <v>North</v>
      </c>
    </row>
    <row r="236" spans="1:11" x14ac:dyDescent="0.35">
      <c r="A236" t="s">
        <v>535</v>
      </c>
      <c r="B236">
        <v>91</v>
      </c>
      <c r="C236">
        <v>32</v>
      </c>
      <c r="D236" t="s">
        <v>536</v>
      </c>
      <c r="E236">
        <v>49</v>
      </c>
      <c r="F236" t="s">
        <v>68</v>
      </c>
      <c r="G236" t="s">
        <v>65</v>
      </c>
      <c r="H236">
        <v>59</v>
      </c>
      <c r="I236" t="str">
        <f>IFERROR(VLOOKUP(C236,Merchants!$A:$D,2,FALSE),"Merchant not found")</f>
        <v>Merchant_032</v>
      </c>
      <c r="J236" t="str">
        <f>IFERROR(VLOOKUP(C236,Merchants!$A:$D,3,FALSE),"Merchant not found")</f>
        <v>food_delivery</v>
      </c>
      <c r="K236" t="str">
        <f>IFERROR(VLOOKUP(C236,Merchants!$A:$D,4,FALSE),"Merchant not found")</f>
        <v>West</v>
      </c>
    </row>
    <row r="237" spans="1:11" x14ac:dyDescent="0.35">
      <c r="A237" t="s">
        <v>537</v>
      </c>
      <c r="B237">
        <v>297</v>
      </c>
      <c r="C237">
        <v>29</v>
      </c>
      <c r="D237" t="s">
        <v>538</v>
      </c>
      <c r="E237">
        <v>99</v>
      </c>
      <c r="F237" t="s">
        <v>90</v>
      </c>
      <c r="G237" t="s">
        <v>116</v>
      </c>
      <c r="H237">
        <v>87</v>
      </c>
      <c r="I237" t="str">
        <f>IFERROR(VLOOKUP(C237,Merchants!$A:$D,2,FALSE),"Merchant not found")</f>
        <v>Merchant_029</v>
      </c>
      <c r="J237" t="str">
        <f>IFERROR(VLOOKUP(C237,Merchants!$A:$D,3,FALSE),"Merchant not found")</f>
        <v>ecommerce</v>
      </c>
      <c r="K237" t="str">
        <f>IFERROR(VLOOKUP(C237,Merchants!$A:$D,4,FALSE),"Merchant not found")</f>
        <v>North</v>
      </c>
    </row>
    <row r="238" spans="1:11" x14ac:dyDescent="0.35">
      <c r="A238" t="s">
        <v>539</v>
      </c>
      <c r="B238">
        <v>326</v>
      </c>
      <c r="C238">
        <v>40</v>
      </c>
      <c r="D238" t="s">
        <v>540</v>
      </c>
      <c r="E238">
        <v>499</v>
      </c>
      <c r="F238" t="s">
        <v>90</v>
      </c>
      <c r="G238" t="s">
        <v>65</v>
      </c>
      <c r="H238">
        <v>41</v>
      </c>
      <c r="I238" t="str">
        <f>IFERROR(VLOOKUP(C238,Merchants!$A:$D,2,FALSE),"Merchant not found")</f>
        <v>Merchant_040</v>
      </c>
      <c r="J238" t="str">
        <f>IFERROR(VLOOKUP(C238,Merchants!$A:$D,3,FALSE),"Merchant not found")</f>
        <v>entertainment</v>
      </c>
      <c r="K238" t="str">
        <f>IFERROR(VLOOKUP(C238,Merchants!$A:$D,4,FALSE),"Merchant not found")</f>
        <v>South</v>
      </c>
    </row>
    <row r="239" spans="1:11" x14ac:dyDescent="0.35">
      <c r="A239" t="s">
        <v>541</v>
      </c>
      <c r="B239">
        <v>78</v>
      </c>
      <c r="C239">
        <v>29</v>
      </c>
      <c r="D239" t="s">
        <v>542</v>
      </c>
      <c r="E239">
        <v>149</v>
      </c>
      <c r="F239" t="s">
        <v>68</v>
      </c>
      <c r="G239" t="s">
        <v>65</v>
      </c>
      <c r="H239">
        <v>8</v>
      </c>
      <c r="I239" t="str">
        <f>IFERROR(VLOOKUP(C239,Merchants!$A:$D,2,FALSE),"Merchant not found")</f>
        <v>Merchant_029</v>
      </c>
      <c r="J239" t="str">
        <f>IFERROR(VLOOKUP(C239,Merchants!$A:$D,3,FALSE),"Merchant not found")</f>
        <v>ecommerce</v>
      </c>
      <c r="K239" t="str">
        <f>IFERROR(VLOOKUP(C239,Merchants!$A:$D,4,FALSE),"Merchant not found")</f>
        <v>North</v>
      </c>
    </row>
    <row r="240" spans="1:11" x14ac:dyDescent="0.35">
      <c r="A240" t="s">
        <v>543</v>
      </c>
      <c r="B240">
        <v>156</v>
      </c>
      <c r="C240">
        <v>18</v>
      </c>
      <c r="D240" t="s">
        <v>544</v>
      </c>
      <c r="E240">
        <v>2999</v>
      </c>
      <c r="F240" t="s">
        <v>90</v>
      </c>
      <c r="G240" t="s">
        <v>65</v>
      </c>
      <c r="H240">
        <v>75</v>
      </c>
      <c r="I240" t="str">
        <f>IFERROR(VLOOKUP(C240,Merchants!$A:$D,2,FALSE),"Merchant not found")</f>
        <v>Merchant_018</v>
      </c>
      <c r="J240" t="str">
        <f>IFERROR(VLOOKUP(C240,Merchants!$A:$D,3,FALSE),"Merchant not found")</f>
        <v>grocery</v>
      </c>
      <c r="K240" t="str">
        <f>IFERROR(VLOOKUP(C240,Merchants!$A:$D,4,FALSE),"Merchant not found")</f>
        <v>West</v>
      </c>
    </row>
    <row r="241" spans="1:11" x14ac:dyDescent="0.35">
      <c r="A241" t="s">
        <v>545</v>
      </c>
      <c r="B241">
        <v>38</v>
      </c>
      <c r="C241">
        <v>20</v>
      </c>
      <c r="D241" t="s">
        <v>546</v>
      </c>
      <c r="E241">
        <v>49</v>
      </c>
      <c r="F241" t="s">
        <v>64</v>
      </c>
      <c r="G241" t="s">
        <v>91</v>
      </c>
      <c r="H241">
        <v>59</v>
      </c>
      <c r="I241" t="str">
        <f>IFERROR(VLOOKUP(C241,Merchants!$A:$D,2,FALSE),"Merchant not found")</f>
        <v>Merchant_020</v>
      </c>
      <c r="J241" t="str">
        <f>IFERROR(VLOOKUP(C241,Merchants!$A:$D,3,FALSE),"Merchant not found")</f>
        <v>food_delivery</v>
      </c>
      <c r="K241" t="str">
        <f>IFERROR(VLOOKUP(C241,Merchants!$A:$D,4,FALSE),"Merchant not found")</f>
        <v>East</v>
      </c>
    </row>
    <row r="242" spans="1:11" x14ac:dyDescent="0.35">
      <c r="A242" t="s">
        <v>547</v>
      </c>
      <c r="B242">
        <v>189</v>
      </c>
      <c r="C242">
        <v>19</v>
      </c>
      <c r="D242" t="s">
        <v>548</v>
      </c>
      <c r="E242">
        <v>99</v>
      </c>
      <c r="F242" t="s">
        <v>68</v>
      </c>
      <c r="G242" t="s">
        <v>91</v>
      </c>
      <c r="H242">
        <v>9</v>
      </c>
      <c r="I242" t="str">
        <f>IFERROR(VLOOKUP(C242,Merchants!$A:$D,2,FALSE),"Merchant not found")</f>
        <v>Merchant_019</v>
      </c>
      <c r="J242" t="str">
        <f>IFERROR(VLOOKUP(C242,Merchants!$A:$D,3,FALSE),"Merchant not found")</f>
        <v>grocery</v>
      </c>
      <c r="K242" t="str">
        <f>IFERROR(VLOOKUP(C242,Merchants!$A:$D,4,FALSE),"Merchant not found")</f>
        <v>North</v>
      </c>
    </row>
    <row r="243" spans="1:11" x14ac:dyDescent="0.35">
      <c r="A243" t="s">
        <v>549</v>
      </c>
      <c r="B243">
        <v>305</v>
      </c>
      <c r="C243">
        <v>33</v>
      </c>
      <c r="D243" t="s">
        <v>550</v>
      </c>
      <c r="E243">
        <v>299</v>
      </c>
      <c r="F243" t="s">
        <v>90</v>
      </c>
      <c r="G243" t="s">
        <v>65</v>
      </c>
      <c r="H243">
        <v>49</v>
      </c>
      <c r="I243" t="str">
        <f>IFERROR(VLOOKUP(C243,Merchants!$A:$D,2,FALSE),"Merchant not found")</f>
        <v>Merchant_033</v>
      </c>
      <c r="J243" t="str">
        <f>IFERROR(VLOOKUP(C243,Merchants!$A:$D,3,FALSE),"Merchant not found")</f>
        <v>bill_payment</v>
      </c>
      <c r="K243" t="str">
        <f>IFERROR(VLOOKUP(C243,Merchants!$A:$D,4,FALSE),"Merchant not found")</f>
        <v>East</v>
      </c>
    </row>
    <row r="244" spans="1:11" x14ac:dyDescent="0.35">
      <c r="A244" t="s">
        <v>551</v>
      </c>
      <c r="B244">
        <v>22</v>
      </c>
      <c r="C244">
        <v>29</v>
      </c>
      <c r="D244" t="s">
        <v>552</v>
      </c>
      <c r="E244">
        <v>799</v>
      </c>
      <c r="F244" t="s">
        <v>68</v>
      </c>
      <c r="G244" t="s">
        <v>65</v>
      </c>
      <c r="H244">
        <v>73</v>
      </c>
      <c r="I244" t="str">
        <f>IFERROR(VLOOKUP(C244,Merchants!$A:$D,2,FALSE),"Merchant not found")</f>
        <v>Merchant_029</v>
      </c>
      <c r="J244" t="str">
        <f>IFERROR(VLOOKUP(C244,Merchants!$A:$D,3,FALSE),"Merchant not found")</f>
        <v>ecommerce</v>
      </c>
      <c r="K244" t="str">
        <f>IFERROR(VLOOKUP(C244,Merchants!$A:$D,4,FALSE),"Merchant not found")</f>
        <v>North</v>
      </c>
    </row>
    <row r="245" spans="1:11" x14ac:dyDescent="0.35">
      <c r="A245" t="s">
        <v>553</v>
      </c>
      <c r="B245">
        <v>310</v>
      </c>
      <c r="C245">
        <v>31</v>
      </c>
      <c r="D245" t="s">
        <v>554</v>
      </c>
      <c r="E245">
        <v>49</v>
      </c>
      <c r="F245" t="s">
        <v>90</v>
      </c>
      <c r="G245" t="s">
        <v>65</v>
      </c>
      <c r="H245">
        <v>64</v>
      </c>
      <c r="I245" t="str">
        <f>IFERROR(VLOOKUP(C245,Merchants!$A:$D,2,FALSE),"Merchant not found")</f>
        <v>Merchant_031</v>
      </c>
      <c r="J245" t="str">
        <f>IFERROR(VLOOKUP(C245,Merchants!$A:$D,3,FALSE),"Merchant not found")</f>
        <v>bill_payment</v>
      </c>
      <c r="K245" t="str">
        <f>IFERROR(VLOOKUP(C245,Merchants!$A:$D,4,FALSE),"Merchant not found")</f>
        <v>East</v>
      </c>
    </row>
    <row r="246" spans="1:11" x14ac:dyDescent="0.35">
      <c r="A246" t="s">
        <v>555</v>
      </c>
      <c r="B246">
        <v>53</v>
      </c>
      <c r="C246">
        <v>22</v>
      </c>
      <c r="D246" t="s">
        <v>556</v>
      </c>
      <c r="E246">
        <v>299</v>
      </c>
      <c r="F246" t="s">
        <v>68</v>
      </c>
      <c r="G246" t="s">
        <v>65</v>
      </c>
      <c r="H246">
        <v>91</v>
      </c>
      <c r="I246" t="str">
        <f>IFERROR(VLOOKUP(C246,Merchants!$A:$D,2,FALSE),"Merchant not found")</f>
        <v>Merchant_022</v>
      </c>
      <c r="J246" t="str">
        <f>IFERROR(VLOOKUP(C246,Merchants!$A:$D,3,FALSE),"Merchant not found")</f>
        <v>travel</v>
      </c>
      <c r="K246" t="str">
        <f>IFERROR(VLOOKUP(C246,Merchants!$A:$D,4,FALSE),"Merchant not found")</f>
        <v>South</v>
      </c>
    </row>
    <row r="247" spans="1:11" x14ac:dyDescent="0.35">
      <c r="A247" t="s">
        <v>557</v>
      </c>
      <c r="B247">
        <v>89</v>
      </c>
      <c r="C247">
        <v>3</v>
      </c>
      <c r="D247" t="s">
        <v>558</v>
      </c>
      <c r="E247">
        <v>149</v>
      </c>
      <c r="F247" t="s">
        <v>90</v>
      </c>
      <c r="G247" t="s">
        <v>65</v>
      </c>
      <c r="H247">
        <v>31</v>
      </c>
      <c r="I247" t="str">
        <f>IFERROR(VLOOKUP(C247,Merchants!$A:$D,2,FALSE),"Merchant not found")</f>
        <v>Merchant_003</v>
      </c>
      <c r="J247" t="str">
        <f>IFERROR(VLOOKUP(C247,Merchants!$A:$D,3,FALSE),"Merchant not found")</f>
        <v>grocery</v>
      </c>
      <c r="K247" t="str">
        <f>IFERROR(VLOOKUP(C247,Merchants!$A:$D,4,FALSE),"Merchant not found")</f>
        <v>East</v>
      </c>
    </row>
    <row r="248" spans="1:11" x14ac:dyDescent="0.35">
      <c r="A248" t="s">
        <v>559</v>
      </c>
      <c r="B248">
        <v>269</v>
      </c>
      <c r="C248">
        <v>34</v>
      </c>
      <c r="D248" t="s">
        <v>560</v>
      </c>
      <c r="E248">
        <v>149</v>
      </c>
      <c r="F248" t="s">
        <v>68</v>
      </c>
      <c r="G248" t="s">
        <v>65</v>
      </c>
      <c r="H248">
        <v>78</v>
      </c>
      <c r="I248" t="str">
        <f>IFERROR(VLOOKUP(C248,Merchants!$A:$D,2,FALSE),"Merchant not found")</f>
        <v>Merchant_034</v>
      </c>
      <c r="J248" t="str">
        <f>IFERROR(VLOOKUP(C248,Merchants!$A:$D,3,FALSE),"Merchant not found")</f>
        <v>travel</v>
      </c>
      <c r="K248" t="str">
        <f>IFERROR(VLOOKUP(C248,Merchants!$A:$D,4,FALSE),"Merchant not found")</f>
        <v>South</v>
      </c>
    </row>
    <row r="249" spans="1:11" x14ac:dyDescent="0.35">
      <c r="A249" t="s">
        <v>561</v>
      </c>
      <c r="B249">
        <v>145</v>
      </c>
      <c r="C249">
        <v>25</v>
      </c>
      <c r="D249" t="s">
        <v>562</v>
      </c>
      <c r="E249">
        <v>799</v>
      </c>
      <c r="F249" t="s">
        <v>68</v>
      </c>
      <c r="G249" t="s">
        <v>65</v>
      </c>
      <c r="H249">
        <v>52</v>
      </c>
      <c r="I249" t="str">
        <f>IFERROR(VLOOKUP(C249,Merchants!$A:$D,2,FALSE),"Merchant not found")</f>
        <v>Merchant_025</v>
      </c>
      <c r="J249" t="str">
        <f>IFERROR(VLOOKUP(C249,Merchants!$A:$D,3,FALSE),"Merchant not found")</f>
        <v>travel</v>
      </c>
      <c r="K249" t="str">
        <f>IFERROR(VLOOKUP(C249,Merchants!$A:$D,4,FALSE),"Merchant not found")</f>
        <v>South</v>
      </c>
    </row>
    <row r="250" spans="1:11" x14ac:dyDescent="0.35">
      <c r="A250" t="s">
        <v>563</v>
      </c>
      <c r="B250">
        <v>307</v>
      </c>
      <c r="C250">
        <v>4</v>
      </c>
      <c r="D250" t="s">
        <v>564</v>
      </c>
      <c r="E250">
        <v>1499</v>
      </c>
      <c r="F250" t="s">
        <v>68</v>
      </c>
      <c r="G250" t="s">
        <v>65</v>
      </c>
      <c r="H250">
        <v>80</v>
      </c>
      <c r="I250" t="str">
        <f>IFERROR(VLOOKUP(C250,Merchants!$A:$D,2,FALSE),"Merchant not found")</f>
        <v>Merchant_004</v>
      </c>
      <c r="J250" t="str">
        <f>IFERROR(VLOOKUP(C250,Merchants!$A:$D,3,FALSE),"Merchant not found")</f>
        <v>ecommerce</v>
      </c>
      <c r="K250" t="str">
        <f>IFERROR(VLOOKUP(C250,Merchants!$A:$D,4,FALSE),"Merchant not found")</f>
        <v>East</v>
      </c>
    </row>
    <row r="251" spans="1:11" x14ac:dyDescent="0.35">
      <c r="A251" t="s">
        <v>565</v>
      </c>
      <c r="B251">
        <v>169</v>
      </c>
      <c r="C251">
        <v>7</v>
      </c>
      <c r="D251" t="s">
        <v>566</v>
      </c>
      <c r="E251">
        <v>1499</v>
      </c>
      <c r="F251" t="s">
        <v>64</v>
      </c>
      <c r="G251" t="s">
        <v>65</v>
      </c>
      <c r="H251">
        <v>71</v>
      </c>
      <c r="I251" t="str">
        <f>IFERROR(VLOOKUP(C251,Merchants!$A:$D,2,FALSE),"Merchant not found")</f>
        <v>Merchant_007</v>
      </c>
      <c r="J251" t="str">
        <f>IFERROR(VLOOKUP(C251,Merchants!$A:$D,3,FALSE),"Merchant not found")</f>
        <v>food_delivery</v>
      </c>
      <c r="K251" t="str">
        <f>IFERROR(VLOOKUP(C251,Merchants!$A:$D,4,FALSE),"Merchant not found")</f>
        <v>East</v>
      </c>
    </row>
    <row r="252" spans="1:11" x14ac:dyDescent="0.35">
      <c r="A252" t="s">
        <v>567</v>
      </c>
      <c r="B252">
        <v>130</v>
      </c>
      <c r="C252">
        <v>39</v>
      </c>
      <c r="D252" t="s">
        <v>568</v>
      </c>
      <c r="E252">
        <v>2999</v>
      </c>
      <c r="F252" t="s">
        <v>64</v>
      </c>
      <c r="G252" t="s">
        <v>65</v>
      </c>
      <c r="H252">
        <v>19</v>
      </c>
      <c r="I252" t="str">
        <f>IFERROR(VLOOKUP(C252,Merchants!$A:$D,2,FALSE),"Merchant not found")</f>
        <v>Merchant_039</v>
      </c>
      <c r="J252" t="str">
        <f>IFERROR(VLOOKUP(C252,Merchants!$A:$D,3,FALSE),"Merchant not found")</f>
        <v>entertainment</v>
      </c>
      <c r="K252" t="str">
        <f>IFERROR(VLOOKUP(C252,Merchants!$A:$D,4,FALSE),"Merchant not found")</f>
        <v>North</v>
      </c>
    </row>
    <row r="253" spans="1:11" x14ac:dyDescent="0.35">
      <c r="A253" t="s">
        <v>569</v>
      </c>
      <c r="B253">
        <v>340</v>
      </c>
      <c r="C253">
        <v>10</v>
      </c>
      <c r="D253" t="s">
        <v>570</v>
      </c>
      <c r="E253">
        <v>49</v>
      </c>
      <c r="F253" t="s">
        <v>90</v>
      </c>
      <c r="G253" t="s">
        <v>65</v>
      </c>
      <c r="H253">
        <v>44</v>
      </c>
      <c r="I253" t="str">
        <f>IFERROR(VLOOKUP(C253,Merchants!$A:$D,2,FALSE),"Merchant not found")</f>
        <v>Merchant_010</v>
      </c>
      <c r="J253" t="str">
        <f>IFERROR(VLOOKUP(C253,Merchants!$A:$D,3,FALSE),"Merchant not found")</f>
        <v>grocery</v>
      </c>
      <c r="K253" t="str">
        <f>IFERROR(VLOOKUP(C253,Merchants!$A:$D,4,FALSE),"Merchant not found")</f>
        <v>West</v>
      </c>
    </row>
    <row r="254" spans="1:11" x14ac:dyDescent="0.35">
      <c r="A254" t="s">
        <v>571</v>
      </c>
      <c r="B254">
        <v>340</v>
      </c>
      <c r="C254">
        <v>26</v>
      </c>
      <c r="D254" t="s">
        <v>572</v>
      </c>
      <c r="E254">
        <v>299</v>
      </c>
      <c r="F254" t="s">
        <v>90</v>
      </c>
      <c r="G254" t="s">
        <v>65</v>
      </c>
      <c r="H254">
        <v>16</v>
      </c>
      <c r="I254" t="str">
        <f>IFERROR(VLOOKUP(C254,Merchants!$A:$D,2,FALSE),"Merchant not found")</f>
        <v>Merchant_026</v>
      </c>
      <c r="J254" t="str">
        <f>IFERROR(VLOOKUP(C254,Merchants!$A:$D,3,FALSE),"Merchant not found")</f>
        <v>food_delivery</v>
      </c>
      <c r="K254" t="str">
        <f>IFERROR(VLOOKUP(C254,Merchants!$A:$D,4,FALSE),"Merchant not found")</f>
        <v>East</v>
      </c>
    </row>
    <row r="255" spans="1:11" x14ac:dyDescent="0.35">
      <c r="A255" t="s">
        <v>573</v>
      </c>
      <c r="B255">
        <v>159</v>
      </c>
      <c r="C255">
        <v>36</v>
      </c>
      <c r="D255" t="s">
        <v>574</v>
      </c>
      <c r="E255">
        <v>49</v>
      </c>
      <c r="F255" t="s">
        <v>68</v>
      </c>
      <c r="G255" t="s">
        <v>65</v>
      </c>
      <c r="H255">
        <v>48</v>
      </c>
      <c r="I255" t="str">
        <f>IFERROR(VLOOKUP(C255,Merchants!$A:$D,2,FALSE),"Merchant not found")</f>
        <v>Merchant_036</v>
      </c>
      <c r="J255" t="str">
        <f>IFERROR(VLOOKUP(C255,Merchants!$A:$D,3,FALSE),"Merchant not found")</f>
        <v>entertainment</v>
      </c>
      <c r="K255" t="str">
        <f>IFERROR(VLOOKUP(C255,Merchants!$A:$D,4,FALSE),"Merchant not found")</f>
        <v>East</v>
      </c>
    </row>
    <row r="256" spans="1:11" x14ac:dyDescent="0.35">
      <c r="A256" t="s">
        <v>575</v>
      </c>
      <c r="B256">
        <v>66</v>
      </c>
      <c r="C256">
        <v>34</v>
      </c>
      <c r="D256" t="s">
        <v>576</v>
      </c>
      <c r="E256">
        <v>799</v>
      </c>
      <c r="F256" t="s">
        <v>68</v>
      </c>
      <c r="G256" t="s">
        <v>65</v>
      </c>
      <c r="H256">
        <v>11</v>
      </c>
      <c r="I256" t="str">
        <f>IFERROR(VLOOKUP(C256,Merchants!$A:$D,2,FALSE),"Merchant not found")</f>
        <v>Merchant_034</v>
      </c>
      <c r="J256" t="str">
        <f>IFERROR(VLOOKUP(C256,Merchants!$A:$D,3,FALSE),"Merchant not found")</f>
        <v>travel</v>
      </c>
      <c r="K256" t="str">
        <f>IFERROR(VLOOKUP(C256,Merchants!$A:$D,4,FALSE),"Merchant not found")</f>
        <v>South</v>
      </c>
    </row>
    <row r="257" spans="1:11" x14ac:dyDescent="0.35">
      <c r="A257" t="s">
        <v>577</v>
      </c>
      <c r="B257">
        <v>261</v>
      </c>
      <c r="C257">
        <v>24</v>
      </c>
      <c r="D257" t="s">
        <v>578</v>
      </c>
      <c r="E257">
        <v>799</v>
      </c>
      <c r="F257" t="s">
        <v>90</v>
      </c>
      <c r="G257" t="s">
        <v>65</v>
      </c>
      <c r="H257">
        <v>2</v>
      </c>
      <c r="I257" t="str">
        <f>IFERROR(VLOOKUP(C257,Merchants!$A:$D,2,FALSE),"Merchant not found")</f>
        <v>Merchant_024</v>
      </c>
      <c r="J257" t="str">
        <f>IFERROR(VLOOKUP(C257,Merchants!$A:$D,3,FALSE),"Merchant not found")</f>
        <v>grocery</v>
      </c>
      <c r="K257" t="str">
        <f>IFERROR(VLOOKUP(C257,Merchants!$A:$D,4,FALSE),"Merchant not found")</f>
        <v>North</v>
      </c>
    </row>
    <row r="258" spans="1:11" x14ac:dyDescent="0.35">
      <c r="A258" t="s">
        <v>579</v>
      </c>
      <c r="B258">
        <v>110</v>
      </c>
      <c r="C258">
        <v>22</v>
      </c>
      <c r="D258" t="s">
        <v>580</v>
      </c>
      <c r="E258">
        <v>799</v>
      </c>
      <c r="F258" t="s">
        <v>68</v>
      </c>
      <c r="G258" t="s">
        <v>65</v>
      </c>
      <c r="H258">
        <v>98</v>
      </c>
      <c r="I258" t="str">
        <f>IFERROR(VLOOKUP(C258,Merchants!$A:$D,2,FALSE),"Merchant not found")</f>
        <v>Merchant_022</v>
      </c>
      <c r="J258" t="str">
        <f>IFERROR(VLOOKUP(C258,Merchants!$A:$D,3,FALSE),"Merchant not found")</f>
        <v>travel</v>
      </c>
      <c r="K258" t="str">
        <f>IFERROR(VLOOKUP(C258,Merchants!$A:$D,4,FALSE),"Merchant not found")</f>
        <v>South</v>
      </c>
    </row>
    <row r="259" spans="1:11" x14ac:dyDescent="0.35">
      <c r="A259" t="s">
        <v>581</v>
      </c>
      <c r="B259">
        <v>71</v>
      </c>
      <c r="C259">
        <v>10</v>
      </c>
      <c r="D259" t="s">
        <v>582</v>
      </c>
      <c r="E259">
        <v>49</v>
      </c>
      <c r="F259" t="s">
        <v>68</v>
      </c>
      <c r="G259" t="s">
        <v>65</v>
      </c>
      <c r="H259">
        <v>9</v>
      </c>
      <c r="I259" t="str">
        <f>IFERROR(VLOOKUP(C259,Merchants!$A:$D,2,FALSE),"Merchant not found")</f>
        <v>Merchant_010</v>
      </c>
      <c r="J259" t="str">
        <f>IFERROR(VLOOKUP(C259,Merchants!$A:$D,3,FALSE),"Merchant not found")</f>
        <v>grocery</v>
      </c>
      <c r="K259" t="str">
        <f>IFERROR(VLOOKUP(C259,Merchants!$A:$D,4,FALSE),"Merchant not found")</f>
        <v>West</v>
      </c>
    </row>
    <row r="260" spans="1:11" x14ac:dyDescent="0.35">
      <c r="A260" t="s">
        <v>583</v>
      </c>
      <c r="B260">
        <v>277</v>
      </c>
      <c r="C260">
        <v>34</v>
      </c>
      <c r="D260" t="s">
        <v>584</v>
      </c>
      <c r="E260">
        <v>49</v>
      </c>
      <c r="F260" t="s">
        <v>68</v>
      </c>
      <c r="G260" t="s">
        <v>65</v>
      </c>
      <c r="H260">
        <v>4</v>
      </c>
      <c r="I260" t="str">
        <f>IFERROR(VLOOKUP(C260,Merchants!$A:$D,2,FALSE),"Merchant not found")</f>
        <v>Merchant_034</v>
      </c>
      <c r="J260" t="str">
        <f>IFERROR(VLOOKUP(C260,Merchants!$A:$D,3,FALSE),"Merchant not found")</f>
        <v>travel</v>
      </c>
      <c r="K260" t="str">
        <f>IFERROR(VLOOKUP(C260,Merchants!$A:$D,4,FALSE),"Merchant not found")</f>
        <v>South</v>
      </c>
    </row>
    <row r="261" spans="1:11" x14ac:dyDescent="0.35">
      <c r="A261" t="s">
        <v>585</v>
      </c>
      <c r="B261">
        <v>317</v>
      </c>
      <c r="C261">
        <v>9</v>
      </c>
      <c r="D261" t="s">
        <v>586</v>
      </c>
      <c r="E261">
        <v>499</v>
      </c>
      <c r="F261" t="s">
        <v>64</v>
      </c>
      <c r="G261" t="s">
        <v>65</v>
      </c>
      <c r="H261">
        <v>76</v>
      </c>
      <c r="I261" t="str">
        <f>IFERROR(VLOOKUP(C261,Merchants!$A:$D,2,FALSE),"Merchant not found")</f>
        <v>Merchant_009</v>
      </c>
      <c r="J261" t="str">
        <f>IFERROR(VLOOKUP(C261,Merchants!$A:$D,3,FALSE),"Merchant not found")</f>
        <v>ecommerce</v>
      </c>
      <c r="K261" t="str">
        <f>IFERROR(VLOOKUP(C261,Merchants!$A:$D,4,FALSE),"Merchant not found")</f>
        <v>North</v>
      </c>
    </row>
    <row r="262" spans="1:11" x14ac:dyDescent="0.35">
      <c r="A262" t="s">
        <v>587</v>
      </c>
      <c r="B262">
        <v>93</v>
      </c>
      <c r="C262">
        <v>40</v>
      </c>
      <c r="D262" t="s">
        <v>588</v>
      </c>
      <c r="E262">
        <v>299</v>
      </c>
      <c r="F262" t="s">
        <v>68</v>
      </c>
      <c r="G262" t="s">
        <v>65</v>
      </c>
      <c r="H262">
        <v>21</v>
      </c>
      <c r="I262" t="str">
        <f>IFERROR(VLOOKUP(C262,Merchants!$A:$D,2,FALSE),"Merchant not found")</f>
        <v>Merchant_040</v>
      </c>
      <c r="J262" t="str">
        <f>IFERROR(VLOOKUP(C262,Merchants!$A:$D,3,FALSE),"Merchant not found")</f>
        <v>entertainment</v>
      </c>
      <c r="K262" t="str">
        <f>IFERROR(VLOOKUP(C262,Merchants!$A:$D,4,FALSE),"Merchant not found")</f>
        <v>South</v>
      </c>
    </row>
    <row r="263" spans="1:11" x14ac:dyDescent="0.35">
      <c r="A263" t="s">
        <v>589</v>
      </c>
      <c r="B263">
        <v>211</v>
      </c>
      <c r="C263">
        <v>24</v>
      </c>
      <c r="D263" t="s">
        <v>590</v>
      </c>
      <c r="E263">
        <v>99</v>
      </c>
      <c r="F263" t="s">
        <v>73</v>
      </c>
      <c r="G263" t="s">
        <v>65</v>
      </c>
      <c r="H263">
        <v>86</v>
      </c>
      <c r="I263" t="str">
        <f>IFERROR(VLOOKUP(C263,Merchants!$A:$D,2,FALSE),"Merchant not found")</f>
        <v>Merchant_024</v>
      </c>
      <c r="J263" t="str">
        <f>IFERROR(VLOOKUP(C263,Merchants!$A:$D,3,FALSE),"Merchant not found")</f>
        <v>grocery</v>
      </c>
      <c r="K263" t="str">
        <f>IFERROR(VLOOKUP(C263,Merchants!$A:$D,4,FALSE),"Merchant not found")</f>
        <v>North</v>
      </c>
    </row>
    <row r="264" spans="1:11" x14ac:dyDescent="0.35">
      <c r="A264" t="s">
        <v>591</v>
      </c>
      <c r="B264">
        <v>313</v>
      </c>
      <c r="C264">
        <v>19</v>
      </c>
      <c r="D264" t="s">
        <v>592</v>
      </c>
      <c r="E264">
        <v>149</v>
      </c>
      <c r="F264" t="s">
        <v>68</v>
      </c>
      <c r="G264" t="s">
        <v>65</v>
      </c>
      <c r="H264">
        <v>96</v>
      </c>
      <c r="I264" t="str">
        <f>IFERROR(VLOOKUP(C264,Merchants!$A:$D,2,FALSE),"Merchant not found")</f>
        <v>Merchant_019</v>
      </c>
      <c r="J264" t="str">
        <f>IFERROR(VLOOKUP(C264,Merchants!$A:$D,3,FALSE),"Merchant not found")</f>
        <v>grocery</v>
      </c>
      <c r="K264" t="str">
        <f>IFERROR(VLOOKUP(C264,Merchants!$A:$D,4,FALSE),"Merchant not found")</f>
        <v>North</v>
      </c>
    </row>
    <row r="265" spans="1:11" x14ac:dyDescent="0.35">
      <c r="A265" t="s">
        <v>593</v>
      </c>
      <c r="B265">
        <v>274</v>
      </c>
      <c r="C265">
        <v>16</v>
      </c>
      <c r="D265" t="s">
        <v>594</v>
      </c>
      <c r="E265">
        <v>49</v>
      </c>
      <c r="F265" t="s">
        <v>64</v>
      </c>
      <c r="G265" t="s">
        <v>91</v>
      </c>
      <c r="H265">
        <v>39</v>
      </c>
      <c r="I265" t="str">
        <f>IFERROR(VLOOKUP(C265,Merchants!$A:$D,2,FALSE),"Merchant not found")</f>
        <v>Merchant_016</v>
      </c>
      <c r="J265" t="str">
        <f>IFERROR(VLOOKUP(C265,Merchants!$A:$D,3,FALSE),"Merchant not found")</f>
        <v>bill_payment</v>
      </c>
      <c r="K265" t="str">
        <f>IFERROR(VLOOKUP(C265,Merchants!$A:$D,4,FALSE),"Merchant not found")</f>
        <v>West</v>
      </c>
    </row>
    <row r="266" spans="1:11" x14ac:dyDescent="0.35">
      <c r="A266" t="s">
        <v>595</v>
      </c>
      <c r="B266">
        <v>100</v>
      </c>
      <c r="C266">
        <v>24</v>
      </c>
      <c r="D266" t="s">
        <v>596</v>
      </c>
      <c r="E266">
        <v>299</v>
      </c>
      <c r="F266" t="s">
        <v>68</v>
      </c>
      <c r="G266" t="s">
        <v>65</v>
      </c>
      <c r="H266">
        <v>86</v>
      </c>
      <c r="I266" t="str">
        <f>IFERROR(VLOOKUP(C266,Merchants!$A:$D,2,FALSE),"Merchant not found")</f>
        <v>Merchant_024</v>
      </c>
      <c r="J266" t="str">
        <f>IFERROR(VLOOKUP(C266,Merchants!$A:$D,3,FALSE),"Merchant not found")</f>
        <v>grocery</v>
      </c>
      <c r="K266" t="str">
        <f>IFERROR(VLOOKUP(C266,Merchants!$A:$D,4,FALSE),"Merchant not found")</f>
        <v>North</v>
      </c>
    </row>
    <row r="267" spans="1:11" x14ac:dyDescent="0.35">
      <c r="A267" t="s">
        <v>597</v>
      </c>
      <c r="B267">
        <v>145</v>
      </c>
      <c r="C267">
        <v>25</v>
      </c>
      <c r="D267" t="s">
        <v>598</v>
      </c>
      <c r="E267">
        <v>2999</v>
      </c>
      <c r="F267" t="s">
        <v>64</v>
      </c>
      <c r="G267" t="s">
        <v>65</v>
      </c>
      <c r="H267">
        <v>64</v>
      </c>
      <c r="I267" t="str">
        <f>IFERROR(VLOOKUP(C267,Merchants!$A:$D,2,FALSE),"Merchant not found")</f>
        <v>Merchant_025</v>
      </c>
      <c r="J267" t="str">
        <f>IFERROR(VLOOKUP(C267,Merchants!$A:$D,3,FALSE),"Merchant not found")</f>
        <v>travel</v>
      </c>
      <c r="K267" t="str">
        <f>IFERROR(VLOOKUP(C267,Merchants!$A:$D,4,FALSE),"Merchant not found")</f>
        <v>South</v>
      </c>
    </row>
    <row r="268" spans="1:11" x14ac:dyDescent="0.35">
      <c r="A268" t="s">
        <v>599</v>
      </c>
      <c r="B268">
        <v>103</v>
      </c>
      <c r="C268">
        <v>39</v>
      </c>
      <c r="D268" t="s">
        <v>600</v>
      </c>
      <c r="E268">
        <v>2999</v>
      </c>
      <c r="F268" t="s">
        <v>64</v>
      </c>
      <c r="G268" t="s">
        <v>65</v>
      </c>
      <c r="H268">
        <v>17</v>
      </c>
      <c r="I268" t="str">
        <f>IFERROR(VLOOKUP(C268,Merchants!$A:$D,2,FALSE),"Merchant not found")</f>
        <v>Merchant_039</v>
      </c>
      <c r="J268" t="str">
        <f>IFERROR(VLOOKUP(C268,Merchants!$A:$D,3,FALSE),"Merchant not found")</f>
        <v>entertainment</v>
      </c>
      <c r="K268" t="str">
        <f>IFERROR(VLOOKUP(C268,Merchants!$A:$D,4,FALSE),"Merchant not found")</f>
        <v>North</v>
      </c>
    </row>
    <row r="269" spans="1:11" x14ac:dyDescent="0.35">
      <c r="A269" t="s">
        <v>601</v>
      </c>
      <c r="B269">
        <v>329</v>
      </c>
      <c r="C269">
        <v>31</v>
      </c>
      <c r="D269" t="s">
        <v>602</v>
      </c>
      <c r="E269">
        <v>299</v>
      </c>
      <c r="F269" t="s">
        <v>64</v>
      </c>
      <c r="G269" t="s">
        <v>65</v>
      </c>
      <c r="H269">
        <v>47</v>
      </c>
      <c r="I269" t="str">
        <f>IFERROR(VLOOKUP(C269,Merchants!$A:$D,2,FALSE),"Merchant not found")</f>
        <v>Merchant_031</v>
      </c>
      <c r="J269" t="str">
        <f>IFERROR(VLOOKUP(C269,Merchants!$A:$D,3,FALSE),"Merchant not found")</f>
        <v>bill_payment</v>
      </c>
      <c r="K269" t="str">
        <f>IFERROR(VLOOKUP(C269,Merchants!$A:$D,4,FALSE),"Merchant not found")</f>
        <v>East</v>
      </c>
    </row>
    <row r="270" spans="1:11" x14ac:dyDescent="0.35">
      <c r="A270" t="s">
        <v>603</v>
      </c>
      <c r="B270">
        <v>265</v>
      </c>
      <c r="C270">
        <v>8</v>
      </c>
      <c r="D270" t="s">
        <v>604</v>
      </c>
      <c r="E270">
        <v>499</v>
      </c>
      <c r="F270" t="s">
        <v>73</v>
      </c>
      <c r="G270" t="s">
        <v>65</v>
      </c>
      <c r="H270">
        <v>36</v>
      </c>
      <c r="I270" t="str">
        <f>IFERROR(VLOOKUP(C270,Merchants!$A:$D,2,FALSE),"Merchant not found")</f>
        <v>Merchant_008</v>
      </c>
      <c r="J270" t="str">
        <f>IFERROR(VLOOKUP(C270,Merchants!$A:$D,3,FALSE),"Merchant not found")</f>
        <v>food_delivery</v>
      </c>
      <c r="K270" t="str">
        <f>IFERROR(VLOOKUP(C270,Merchants!$A:$D,4,FALSE),"Merchant not found")</f>
        <v>North</v>
      </c>
    </row>
    <row r="271" spans="1:11" x14ac:dyDescent="0.35">
      <c r="A271" t="s">
        <v>605</v>
      </c>
      <c r="B271">
        <v>231</v>
      </c>
      <c r="C271">
        <v>33</v>
      </c>
      <c r="D271" t="s">
        <v>606</v>
      </c>
      <c r="E271">
        <v>149</v>
      </c>
      <c r="F271" t="s">
        <v>68</v>
      </c>
      <c r="G271" t="s">
        <v>91</v>
      </c>
      <c r="H271">
        <v>18</v>
      </c>
      <c r="I271" t="str">
        <f>IFERROR(VLOOKUP(C271,Merchants!$A:$D,2,FALSE),"Merchant not found")</f>
        <v>Merchant_033</v>
      </c>
      <c r="J271" t="str">
        <f>IFERROR(VLOOKUP(C271,Merchants!$A:$D,3,FALSE),"Merchant not found")</f>
        <v>bill_payment</v>
      </c>
      <c r="K271" t="str">
        <f>IFERROR(VLOOKUP(C271,Merchants!$A:$D,4,FALSE),"Merchant not found")</f>
        <v>East</v>
      </c>
    </row>
    <row r="272" spans="1:11" x14ac:dyDescent="0.35">
      <c r="A272" t="s">
        <v>607</v>
      </c>
      <c r="B272">
        <v>114</v>
      </c>
      <c r="C272">
        <v>29</v>
      </c>
      <c r="D272" t="s">
        <v>608</v>
      </c>
      <c r="E272">
        <v>799</v>
      </c>
      <c r="F272" t="s">
        <v>68</v>
      </c>
      <c r="G272" t="s">
        <v>116</v>
      </c>
      <c r="H272">
        <v>44</v>
      </c>
      <c r="I272" t="str">
        <f>IFERROR(VLOOKUP(C272,Merchants!$A:$D,2,FALSE),"Merchant not found")</f>
        <v>Merchant_029</v>
      </c>
      <c r="J272" t="str">
        <f>IFERROR(VLOOKUP(C272,Merchants!$A:$D,3,FALSE),"Merchant not found")</f>
        <v>ecommerce</v>
      </c>
      <c r="K272" t="str">
        <f>IFERROR(VLOOKUP(C272,Merchants!$A:$D,4,FALSE),"Merchant not found")</f>
        <v>North</v>
      </c>
    </row>
    <row r="273" spans="1:11" x14ac:dyDescent="0.35">
      <c r="A273" t="s">
        <v>609</v>
      </c>
      <c r="B273">
        <v>28</v>
      </c>
      <c r="C273">
        <v>26</v>
      </c>
      <c r="D273" t="s">
        <v>610</v>
      </c>
      <c r="E273">
        <v>1499</v>
      </c>
      <c r="F273" t="s">
        <v>68</v>
      </c>
      <c r="G273" t="s">
        <v>91</v>
      </c>
      <c r="H273">
        <v>64</v>
      </c>
      <c r="I273" t="str">
        <f>IFERROR(VLOOKUP(C273,Merchants!$A:$D,2,FALSE),"Merchant not found")</f>
        <v>Merchant_026</v>
      </c>
      <c r="J273" t="str">
        <f>IFERROR(VLOOKUP(C273,Merchants!$A:$D,3,FALSE),"Merchant not found")</f>
        <v>food_delivery</v>
      </c>
      <c r="K273" t="str">
        <f>IFERROR(VLOOKUP(C273,Merchants!$A:$D,4,FALSE),"Merchant not found")</f>
        <v>East</v>
      </c>
    </row>
    <row r="274" spans="1:11" x14ac:dyDescent="0.35">
      <c r="A274" t="s">
        <v>611</v>
      </c>
      <c r="B274">
        <v>42</v>
      </c>
      <c r="C274">
        <v>24</v>
      </c>
      <c r="D274" t="s">
        <v>612</v>
      </c>
      <c r="E274">
        <v>149</v>
      </c>
      <c r="F274" t="s">
        <v>68</v>
      </c>
      <c r="G274" t="s">
        <v>65</v>
      </c>
      <c r="H274">
        <v>28</v>
      </c>
      <c r="I274" t="str">
        <f>IFERROR(VLOOKUP(C274,Merchants!$A:$D,2,FALSE),"Merchant not found")</f>
        <v>Merchant_024</v>
      </c>
      <c r="J274" t="str">
        <f>IFERROR(VLOOKUP(C274,Merchants!$A:$D,3,FALSE),"Merchant not found")</f>
        <v>grocery</v>
      </c>
      <c r="K274" t="str">
        <f>IFERROR(VLOOKUP(C274,Merchants!$A:$D,4,FALSE),"Merchant not found")</f>
        <v>North</v>
      </c>
    </row>
    <row r="275" spans="1:11" x14ac:dyDescent="0.35">
      <c r="A275" t="s">
        <v>613</v>
      </c>
      <c r="B275">
        <v>51</v>
      </c>
      <c r="C275">
        <v>22</v>
      </c>
      <c r="D275" t="s">
        <v>614</v>
      </c>
      <c r="E275">
        <v>799</v>
      </c>
      <c r="F275" t="s">
        <v>68</v>
      </c>
      <c r="G275" t="s">
        <v>65</v>
      </c>
      <c r="H275">
        <v>18</v>
      </c>
      <c r="I275" t="str">
        <f>IFERROR(VLOOKUP(C275,Merchants!$A:$D,2,FALSE),"Merchant not found")</f>
        <v>Merchant_022</v>
      </c>
      <c r="J275" t="str">
        <f>IFERROR(VLOOKUP(C275,Merchants!$A:$D,3,FALSE),"Merchant not found")</f>
        <v>travel</v>
      </c>
      <c r="K275" t="str">
        <f>IFERROR(VLOOKUP(C275,Merchants!$A:$D,4,FALSE),"Merchant not found")</f>
        <v>South</v>
      </c>
    </row>
    <row r="276" spans="1:11" x14ac:dyDescent="0.35">
      <c r="A276" t="s">
        <v>615</v>
      </c>
      <c r="B276">
        <v>242</v>
      </c>
      <c r="C276">
        <v>9</v>
      </c>
      <c r="D276" t="s">
        <v>616</v>
      </c>
      <c r="E276">
        <v>149</v>
      </c>
      <c r="F276" t="s">
        <v>68</v>
      </c>
      <c r="G276" t="s">
        <v>65</v>
      </c>
      <c r="H276">
        <v>97</v>
      </c>
      <c r="I276" t="str">
        <f>IFERROR(VLOOKUP(C276,Merchants!$A:$D,2,FALSE),"Merchant not found")</f>
        <v>Merchant_009</v>
      </c>
      <c r="J276" t="str">
        <f>IFERROR(VLOOKUP(C276,Merchants!$A:$D,3,FALSE),"Merchant not found")</f>
        <v>ecommerce</v>
      </c>
      <c r="K276" t="str">
        <f>IFERROR(VLOOKUP(C276,Merchants!$A:$D,4,FALSE),"Merchant not found")</f>
        <v>North</v>
      </c>
    </row>
    <row r="277" spans="1:11" x14ac:dyDescent="0.35">
      <c r="A277" t="s">
        <v>617</v>
      </c>
      <c r="B277">
        <v>316</v>
      </c>
      <c r="C277">
        <v>1</v>
      </c>
      <c r="D277" t="s">
        <v>618</v>
      </c>
      <c r="E277">
        <v>149</v>
      </c>
      <c r="F277" t="s">
        <v>68</v>
      </c>
      <c r="G277" t="s">
        <v>65</v>
      </c>
      <c r="H277">
        <v>10</v>
      </c>
      <c r="I277" t="str">
        <f>IFERROR(VLOOKUP(C277,Merchants!$A:$D,2,FALSE),"Merchant not found")</f>
        <v>Merchant_001</v>
      </c>
      <c r="J277" t="str">
        <f>IFERROR(VLOOKUP(C277,Merchants!$A:$D,3,FALSE),"Merchant not found")</f>
        <v>ecommerce</v>
      </c>
      <c r="K277" t="str">
        <f>IFERROR(VLOOKUP(C277,Merchants!$A:$D,4,FALSE),"Merchant not found")</f>
        <v>South</v>
      </c>
    </row>
    <row r="278" spans="1:11" x14ac:dyDescent="0.35">
      <c r="A278" t="s">
        <v>619</v>
      </c>
      <c r="B278">
        <v>77</v>
      </c>
      <c r="C278">
        <v>36</v>
      </c>
      <c r="D278" t="s">
        <v>620</v>
      </c>
      <c r="E278">
        <v>149</v>
      </c>
      <c r="F278" t="s">
        <v>68</v>
      </c>
      <c r="G278" t="s">
        <v>65</v>
      </c>
      <c r="H278">
        <v>93</v>
      </c>
      <c r="I278" t="str">
        <f>IFERROR(VLOOKUP(C278,Merchants!$A:$D,2,FALSE),"Merchant not found")</f>
        <v>Merchant_036</v>
      </c>
      <c r="J278" t="str">
        <f>IFERROR(VLOOKUP(C278,Merchants!$A:$D,3,FALSE),"Merchant not found")</f>
        <v>entertainment</v>
      </c>
      <c r="K278" t="str">
        <f>IFERROR(VLOOKUP(C278,Merchants!$A:$D,4,FALSE),"Merchant not found")</f>
        <v>East</v>
      </c>
    </row>
    <row r="279" spans="1:11" x14ac:dyDescent="0.35">
      <c r="A279" t="s">
        <v>621</v>
      </c>
      <c r="B279">
        <v>57</v>
      </c>
      <c r="C279">
        <v>19</v>
      </c>
      <c r="D279" t="s">
        <v>622</v>
      </c>
      <c r="E279">
        <v>49</v>
      </c>
      <c r="F279" t="s">
        <v>68</v>
      </c>
      <c r="G279" t="s">
        <v>65</v>
      </c>
      <c r="H279">
        <v>30</v>
      </c>
      <c r="I279" t="str">
        <f>IFERROR(VLOOKUP(C279,Merchants!$A:$D,2,FALSE),"Merchant not found")</f>
        <v>Merchant_019</v>
      </c>
      <c r="J279" t="str">
        <f>IFERROR(VLOOKUP(C279,Merchants!$A:$D,3,FALSE),"Merchant not found")</f>
        <v>grocery</v>
      </c>
      <c r="K279" t="str">
        <f>IFERROR(VLOOKUP(C279,Merchants!$A:$D,4,FALSE),"Merchant not found")</f>
        <v>North</v>
      </c>
    </row>
    <row r="280" spans="1:11" x14ac:dyDescent="0.35">
      <c r="A280" t="s">
        <v>623</v>
      </c>
      <c r="B280">
        <v>123</v>
      </c>
      <c r="C280">
        <v>27</v>
      </c>
      <c r="D280" t="s">
        <v>624</v>
      </c>
      <c r="E280">
        <v>149</v>
      </c>
      <c r="F280" t="s">
        <v>73</v>
      </c>
      <c r="G280" t="s">
        <v>65</v>
      </c>
      <c r="H280">
        <v>81</v>
      </c>
      <c r="I280" t="str">
        <f>IFERROR(VLOOKUP(C280,Merchants!$A:$D,2,FALSE),"Merchant not found")</f>
        <v>Merchant_027</v>
      </c>
      <c r="J280" t="str">
        <f>IFERROR(VLOOKUP(C280,Merchants!$A:$D,3,FALSE),"Merchant not found")</f>
        <v>ecommerce</v>
      </c>
      <c r="K280" t="str">
        <f>IFERROR(VLOOKUP(C280,Merchants!$A:$D,4,FALSE),"Merchant not found")</f>
        <v>North</v>
      </c>
    </row>
    <row r="281" spans="1:11" x14ac:dyDescent="0.35">
      <c r="A281" t="s">
        <v>625</v>
      </c>
      <c r="B281">
        <v>33</v>
      </c>
      <c r="C281">
        <v>8</v>
      </c>
      <c r="D281" t="s">
        <v>626</v>
      </c>
      <c r="E281">
        <v>299</v>
      </c>
      <c r="F281" t="s">
        <v>64</v>
      </c>
      <c r="G281" t="s">
        <v>65</v>
      </c>
      <c r="H281">
        <v>63</v>
      </c>
      <c r="I281" t="str">
        <f>IFERROR(VLOOKUP(C281,Merchants!$A:$D,2,FALSE),"Merchant not found")</f>
        <v>Merchant_008</v>
      </c>
      <c r="J281" t="str">
        <f>IFERROR(VLOOKUP(C281,Merchants!$A:$D,3,FALSE),"Merchant not found")</f>
        <v>food_delivery</v>
      </c>
      <c r="K281" t="str">
        <f>IFERROR(VLOOKUP(C281,Merchants!$A:$D,4,FALSE),"Merchant not found")</f>
        <v>North</v>
      </c>
    </row>
    <row r="282" spans="1:11" x14ac:dyDescent="0.35">
      <c r="A282" t="s">
        <v>627</v>
      </c>
      <c r="B282">
        <v>324</v>
      </c>
      <c r="C282">
        <v>33</v>
      </c>
      <c r="D282" t="s">
        <v>628</v>
      </c>
      <c r="E282">
        <v>499</v>
      </c>
      <c r="F282" t="s">
        <v>68</v>
      </c>
      <c r="G282" t="s">
        <v>65</v>
      </c>
      <c r="H282">
        <v>73</v>
      </c>
      <c r="I282" t="str">
        <f>IFERROR(VLOOKUP(C282,Merchants!$A:$D,2,FALSE),"Merchant not found")</f>
        <v>Merchant_033</v>
      </c>
      <c r="J282" t="str">
        <f>IFERROR(VLOOKUP(C282,Merchants!$A:$D,3,FALSE),"Merchant not found")</f>
        <v>bill_payment</v>
      </c>
      <c r="K282" t="str">
        <f>IFERROR(VLOOKUP(C282,Merchants!$A:$D,4,FALSE),"Merchant not found")</f>
        <v>East</v>
      </c>
    </row>
    <row r="283" spans="1:11" x14ac:dyDescent="0.35">
      <c r="A283" t="s">
        <v>629</v>
      </c>
      <c r="B283">
        <v>150</v>
      </c>
      <c r="C283">
        <v>28</v>
      </c>
      <c r="D283" t="s">
        <v>630</v>
      </c>
      <c r="E283">
        <v>49</v>
      </c>
      <c r="F283" t="s">
        <v>68</v>
      </c>
      <c r="G283" t="s">
        <v>91</v>
      </c>
      <c r="H283">
        <v>0</v>
      </c>
      <c r="I283" t="str">
        <f>IFERROR(VLOOKUP(C283,Merchants!$A:$D,2,FALSE),"Merchant not found")</f>
        <v>Merchant_028</v>
      </c>
      <c r="J283" t="str">
        <f>IFERROR(VLOOKUP(C283,Merchants!$A:$D,3,FALSE),"Merchant not found")</f>
        <v>ecommerce</v>
      </c>
      <c r="K283" t="str">
        <f>IFERROR(VLOOKUP(C283,Merchants!$A:$D,4,FALSE),"Merchant not found")</f>
        <v>South</v>
      </c>
    </row>
    <row r="284" spans="1:11" x14ac:dyDescent="0.35">
      <c r="A284" t="s">
        <v>631</v>
      </c>
      <c r="B284">
        <v>293</v>
      </c>
      <c r="C284">
        <v>27</v>
      </c>
      <c r="D284" t="s">
        <v>632</v>
      </c>
      <c r="E284">
        <v>4999</v>
      </c>
      <c r="F284" t="s">
        <v>68</v>
      </c>
      <c r="G284" t="s">
        <v>65</v>
      </c>
      <c r="H284">
        <v>23</v>
      </c>
      <c r="I284" t="str">
        <f>IFERROR(VLOOKUP(C284,Merchants!$A:$D,2,FALSE),"Merchant not found")</f>
        <v>Merchant_027</v>
      </c>
      <c r="J284" t="str">
        <f>IFERROR(VLOOKUP(C284,Merchants!$A:$D,3,FALSE),"Merchant not found")</f>
        <v>ecommerce</v>
      </c>
      <c r="K284" t="str">
        <f>IFERROR(VLOOKUP(C284,Merchants!$A:$D,4,FALSE),"Merchant not found")</f>
        <v>North</v>
      </c>
    </row>
    <row r="285" spans="1:11" x14ac:dyDescent="0.35">
      <c r="A285" t="s">
        <v>633</v>
      </c>
      <c r="B285">
        <v>269</v>
      </c>
      <c r="C285">
        <v>24</v>
      </c>
      <c r="D285" t="s">
        <v>634</v>
      </c>
      <c r="E285">
        <v>49</v>
      </c>
      <c r="F285" t="s">
        <v>64</v>
      </c>
      <c r="G285" t="s">
        <v>65</v>
      </c>
      <c r="H285">
        <v>8</v>
      </c>
      <c r="I285" t="str">
        <f>IFERROR(VLOOKUP(C285,Merchants!$A:$D,2,FALSE),"Merchant not found")</f>
        <v>Merchant_024</v>
      </c>
      <c r="J285" t="str">
        <f>IFERROR(VLOOKUP(C285,Merchants!$A:$D,3,FALSE),"Merchant not found")</f>
        <v>grocery</v>
      </c>
      <c r="K285" t="str">
        <f>IFERROR(VLOOKUP(C285,Merchants!$A:$D,4,FALSE),"Merchant not found")</f>
        <v>North</v>
      </c>
    </row>
    <row r="286" spans="1:11" x14ac:dyDescent="0.35">
      <c r="A286" t="s">
        <v>635</v>
      </c>
      <c r="B286">
        <v>260</v>
      </c>
      <c r="C286">
        <v>36</v>
      </c>
      <c r="D286" t="s">
        <v>636</v>
      </c>
      <c r="E286">
        <v>1499</v>
      </c>
      <c r="F286" t="s">
        <v>68</v>
      </c>
      <c r="G286" t="s">
        <v>65</v>
      </c>
      <c r="H286">
        <v>2</v>
      </c>
      <c r="I286" t="str">
        <f>IFERROR(VLOOKUP(C286,Merchants!$A:$D,2,FALSE),"Merchant not found")</f>
        <v>Merchant_036</v>
      </c>
      <c r="J286" t="str">
        <f>IFERROR(VLOOKUP(C286,Merchants!$A:$D,3,FALSE),"Merchant not found")</f>
        <v>entertainment</v>
      </c>
      <c r="K286" t="str">
        <f>IFERROR(VLOOKUP(C286,Merchants!$A:$D,4,FALSE),"Merchant not found")</f>
        <v>East</v>
      </c>
    </row>
    <row r="287" spans="1:11" x14ac:dyDescent="0.35">
      <c r="A287" t="s">
        <v>637</v>
      </c>
      <c r="B287">
        <v>326</v>
      </c>
      <c r="C287">
        <v>25</v>
      </c>
      <c r="D287" t="s">
        <v>638</v>
      </c>
      <c r="E287">
        <v>49</v>
      </c>
      <c r="F287" t="s">
        <v>68</v>
      </c>
      <c r="G287" t="s">
        <v>65</v>
      </c>
      <c r="H287">
        <v>47</v>
      </c>
      <c r="I287" t="str">
        <f>IFERROR(VLOOKUP(C287,Merchants!$A:$D,2,FALSE),"Merchant not found")</f>
        <v>Merchant_025</v>
      </c>
      <c r="J287" t="str">
        <f>IFERROR(VLOOKUP(C287,Merchants!$A:$D,3,FALSE),"Merchant not found")</f>
        <v>travel</v>
      </c>
      <c r="K287" t="str">
        <f>IFERROR(VLOOKUP(C287,Merchants!$A:$D,4,FALSE),"Merchant not found")</f>
        <v>South</v>
      </c>
    </row>
    <row r="288" spans="1:11" x14ac:dyDescent="0.35">
      <c r="A288" t="s">
        <v>639</v>
      </c>
      <c r="B288">
        <v>183</v>
      </c>
      <c r="C288">
        <v>5</v>
      </c>
      <c r="D288" t="s">
        <v>640</v>
      </c>
      <c r="E288">
        <v>49</v>
      </c>
      <c r="F288" t="s">
        <v>90</v>
      </c>
      <c r="G288" t="s">
        <v>65</v>
      </c>
      <c r="H288">
        <v>44</v>
      </c>
      <c r="I288" t="str">
        <f>IFERROR(VLOOKUP(C288,Merchants!$A:$D,2,FALSE),"Merchant not found")</f>
        <v>Merchant_005</v>
      </c>
      <c r="J288" t="str">
        <f>IFERROR(VLOOKUP(C288,Merchants!$A:$D,3,FALSE),"Merchant not found")</f>
        <v>recharge</v>
      </c>
      <c r="K288" t="str">
        <f>IFERROR(VLOOKUP(C288,Merchants!$A:$D,4,FALSE),"Merchant not found")</f>
        <v>South</v>
      </c>
    </row>
    <row r="289" spans="1:11" x14ac:dyDescent="0.35">
      <c r="A289" t="s">
        <v>641</v>
      </c>
      <c r="B289">
        <v>322</v>
      </c>
      <c r="C289">
        <v>7</v>
      </c>
      <c r="D289" t="s">
        <v>642</v>
      </c>
      <c r="E289">
        <v>299</v>
      </c>
      <c r="F289" t="s">
        <v>68</v>
      </c>
      <c r="G289" t="s">
        <v>65</v>
      </c>
      <c r="H289">
        <v>98</v>
      </c>
      <c r="I289" t="str">
        <f>IFERROR(VLOOKUP(C289,Merchants!$A:$D,2,FALSE),"Merchant not found")</f>
        <v>Merchant_007</v>
      </c>
      <c r="J289" t="str">
        <f>IFERROR(VLOOKUP(C289,Merchants!$A:$D,3,FALSE),"Merchant not found")</f>
        <v>food_delivery</v>
      </c>
      <c r="K289" t="str">
        <f>IFERROR(VLOOKUP(C289,Merchants!$A:$D,4,FALSE),"Merchant not found")</f>
        <v>East</v>
      </c>
    </row>
    <row r="290" spans="1:11" x14ac:dyDescent="0.35">
      <c r="A290" t="s">
        <v>643</v>
      </c>
      <c r="B290">
        <v>171</v>
      </c>
      <c r="C290">
        <v>9</v>
      </c>
      <c r="D290" t="s">
        <v>644</v>
      </c>
      <c r="E290">
        <v>299</v>
      </c>
      <c r="F290" t="s">
        <v>68</v>
      </c>
      <c r="G290" t="s">
        <v>65</v>
      </c>
      <c r="H290">
        <v>5</v>
      </c>
      <c r="I290" t="str">
        <f>IFERROR(VLOOKUP(C290,Merchants!$A:$D,2,FALSE),"Merchant not found")</f>
        <v>Merchant_009</v>
      </c>
      <c r="J290" t="str">
        <f>IFERROR(VLOOKUP(C290,Merchants!$A:$D,3,FALSE),"Merchant not found")</f>
        <v>ecommerce</v>
      </c>
      <c r="K290" t="str">
        <f>IFERROR(VLOOKUP(C290,Merchants!$A:$D,4,FALSE),"Merchant not found")</f>
        <v>North</v>
      </c>
    </row>
    <row r="291" spans="1:11" x14ac:dyDescent="0.35">
      <c r="A291" t="s">
        <v>645</v>
      </c>
      <c r="B291">
        <v>330</v>
      </c>
      <c r="C291">
        <v>12</v>
      </c>
      <c r="D291" t="s">
        <v>646</v>
      </c>
      <c r="E291">
        <v>1499</v>
      </c>
      <c r="F291" t="s">
        <v>73</v>
      </c>
      <c r="G291" t="s">
        <v>65</v>
      </c>
      <c r="H291">
        <v>99</v>
      </c>
      <c r="I291" t="str">
        <f>IFERROR(VLOOKUP(C291,Merchants!$A:$D,2,FALSE),"Merchant not found")</f>
        <v>Merchant_012</v>
      </c>
      <c r="J291" t="str">
        <f>IFERROR(VLOOKUP(C291,Merchants!$A:$D,3,FALSE),"Merchant not found")</f>
        <v>ecommerce</v>
      </c>
      <c r="K291" t="str">
        <f>IFERROR(VLOOKUP(C291,Merchants!$A:$D,4,FALSE),"Merchant not found")</f>
        <v>East</v>
      </c>
    </row>
    <row r="292" spans="1:11" x14ac:dyDescent="0.35">
      <c r="A292" t="s">
        <v>647</v>
      </c>
      <c r="B292">
        <v>246</v>
      </c>
      <c r="C292">
        <v>12</v>
      </c>
      <c r="D292" t="s">
        <v>648</v>
      </c>
      <c r="E292">
        <v>99</v>
      </c>
      <c r="F292" t="s">
        <v>64</v>
      </c>
      <c r="G292" t="s">
        <v>65</v>
      </c>
      <c r="H292">
        <v>17</v>
      </c>
      <c r="I292" t="str">
        <f>IFERROR(VLOOKUP(C292,Merchants!$A:$D,2,FALSE),"Merchant not found")</f>
        <v>Merchant_012</v>
      </c>
      <c r="J292" t="str">
        <f>IFERROR(VLOOKUP(C292,Merchants!$A:$D,3,FALSE),"Merchant not found")</f>
        <v>ecommerce</v>
      </c>
      <c r="K292" t="str">
        <f>IFERROR(VLOOKUP(C292,Merchants!$A:$D,4,FALSE),"Merchant not found")</f>
        <v>East</v>
      </c>
    </row>
    <row r="293" spans="1:11" x14ac:dyDescent="0.35">
      <c r="A293" t="s">
        <v>649</v>
      </c>
      <c r="B293">
        <v>235</v>
      </c>
      <c r="C293">
        <v>3</v>
      </c>
      <c r="D293" t="s">
        <v>650</v>
      </c>
      <c r="E293">
        <v>49</v>
      </c>
      <c r="F293" t="s">
        <v>68</v>
      </c>
      <c r="G293" t="s">
        <v>65</v>
      </c>
      <c r="H293">
        <v>37</v>
      </c>
      <c r="I293" t="str">
        <f>IFERROR(VLOOKUP(C293,Merchants!$A:$D,2,FALSE),"Merchant not found")</f>
        <v>Merchant_003</v>
      </c>
      <c r="J293" t="str">
        <f>IFERROR(VLOOKUP(C293,Merchants!$A:$D,3,FALSE),"Merchant not found")</f>
        <v>grocery</v>
      </c>
      <c r="K293" t="str">
        <f>IFERROR(VLOOKUP(C293,Merchants!$A:$D,4,FALSE),"Merchant not found")</f>
        <v>East</v>
      </c>
    </row>
    <row r="294" spans="1:11" x14ac:dyDescent="0.35">
      <c r="A294" t="s">
        <v>651</v>
      </c>
      <c r="B294">
        <v>103</v>
      </c>
      <c r="C294">
        <v>3</v>
      </c>
      <c r="D294" t="s">
        <v>652</v>
      </c>
      <c r="E294">
        <v>499</v>
      </c>
      <c r="F294" t="s">
        <v>68</v>
      </c>
      <c r="G294" t="s">
        <v>65</v>
      </c>
      <c r="H294">
        <v>40</v>
      </c>
      <c r="I294" t="str">
        <f>IFERROR(VLOOKUP(C294,Merchants!$A:$D,2,FALSE),"Merchant not found")</f>
        <v>Merchant_003</v>
      </c>
      <c r="J294" t="str">
        <f>IFERROR(VLOOKUP(C294,Merchants!$A:$D,3,FALSE),"Merchant not found")</f>
        <v>grocery</v>
      </c>
      <c r="K294" t="str">
        <f>IFERROR(VLOOKUP(C294,Merchants!$A:$D,4,FALSE),"Merchant not found")</f>
        <v>East</v>
      </c>
    </row>
    <row r="295" spans="1:11" x14ac:dyDescent="0.35">
      <c r="A295" t="s">
        <v>653</v>
      </c>
      <c r="B295">
        <v>204</v>
      </c>
      <c r="C295">
        <v>35</v>
      </c>
      <c r="D295" t="s">
        <v>654</v>
      </c>
      <c r="E295">
        <v>99</v>
      </c>
      <c r="F295" t="s">
        <v>64</v>
      </c>
      <c r="G295" t="s">
        <v>65</v>
      </c>
      <c r="H295">
        <v>60</v>
      </c>
      <c r="I295" t="str">
        <f>IFERROR(VLOOKUP(C295,Merchants!$A:$D,2,FALSE),"Merchant not found")</f>
        <v>Merchant_035</v>
      </c>
      <c r="J295" t="str">
        <f>IFERROR(VLOOKUP(C295,Merchants!$A:$D,3,FALSE),"Merchant not found")</f>
        <v>recharge</v>
      </c>
      <c r="K295" t="str">
        <f>IFERROR(VLOOKUP(C295,Merchants!$A:$D,4,FALSE),"Merchant not found")</f>
        <v>East</v>
      </c>
    </row>
    <row r="296" spans="1:11" x14ac:dyDescent="0.35">
      <c r="A296" t="s">
        <v>655</v>
      </c>
      <c r="B296">
        <v>332</v>
      </c>
      <c r="C296">
        <v>13</v>
      </c>
      <c r="D296" t="s">
        <v>656</v>
      </c>
      <c r="E296">
        <v>49</v>
      </c>
      <c r="F296" t="s">
        <v>90</v>
      </c>
      <c r="G296" t="s">
        <v>65</v>
      </c>
      <c r="H296">
        <v>36</v>
      </c>
      <c r="I296" t="str">
        <f>IFERROR(VLOOKUP(C296,Merchants!$A:$D,2,FALSE),"Merchant not found")</f>
        <v>Merchant_013</v>
      </c>
      <c r="J296" t="str">
        <f>IFERROR(VLOOKUP(C296,Merchants!$A:$D,3,FALSE),"Merchant not found")</f>
        <v>travel</v>
      </c>
      <c r="K296" t="str">
        <f>IFERROR(VLOOKUP(C296,Merchants!$A:$D,4,FALSE),"Merchant not found")</f>
        <v>East</v>
      </c>
    </row>
    <row r="297" spans="1:11" x14ac:dyDescent="0.35">
      <c r="A297" t="s">
        <v>657</v>
      </c>
      <c r="B297">
        <v>336</v>
      </c>
      <c r="C297">
        <v>22</v>
      </c>
      <c r="D297" t="s">
        <v>658</v>
      </c>
      <c r="E297">
        <v>499</v>
      </c>
      <c r="F297" t="s">
        <v>68</v>
      </c>
      <c r="G297" t="s">
        <v>65</v>
      </c>
      <c r="H297">
        <v>34</v>
      </c>
      <c r="I297" t="str">
        <f>IFERROR(VLOOKUP(C297,Merchants!$A:$D,2,FALSE),"Merchant not found")</f>
        <v>Merchant_022</v>
      </c>
      <c r="J297" t="str">
        <f>IFERROR(VLOOKUP(C297,Merchants!$A:$D,3,FALSE),"Merchant not found")</f>
        <v>travel</v>
      </c>
      <c r="K297" t="str">
        <f>IFERROR(VLOOKUP(C297,Merchants!$A:$D,4,FALSE),"Merchant not found")</f>
        <v>South</v>
      </c>
    </row>
    <row r="298" spans="1:11" x14ac:dyDescent="0.35">
      <c r="A298" t="s">
        <v>659</v>
      </c>
      <c r="B298">
        <v>205</v>
      </c>
      <c r="C298">
        <v>29</v>
      </c>
      <c r="D298" t="s">
        <v>660</v>
      </c>
      <c r="E298">
        <v>99</v>
      </c>
      <c r="F298" t="s">
        <v>64</v>
      </c>
      <c r="G298" t="s">
        <v>65</v>
      </c>
      <c r="H298">
        <v>49</v>
      </c>
      <c r="I298" t="str">
        <f>IFERROR(VLOOKUP(C298,Merchants!$A:$D,2,FALSE),"Merchant not found")</f>
        <v>Merchant_029</v>
      </c>
      <c r="J298" t="str">
        <f>IFERROR(VLOOKUP(C298,Merchants!$A:$D,3,FALSE),"Merchant not found")</f>
        <v>ecommerce</v>
      </c>
      <c r="K298" t="str">
        <f>IFERROR(VLOOKUP(C298,Merchants!$A:$D,4,FALSE),"Merchant not found")</f>
        <v>North</v>
      </c>
    </row>
    <row r="299" spans="1:11" x14ac:dyDescent="0.35">
      <c r="A299" t="s">
        <v>661</v>
      </c>
      <c r="B299">
        <v>255</v>
      </c>
      <c r="C299">
        <v>24</v>
      </c>
      <c r="D299" t="s">
        <v>662</v>
      </c>
      <c r="E299">
        <v>799</v>
      </c>
      <c r="F299" t="s">
        <v>68</v>
      </c>
      <c r="G299" t="s">
        <v>65</v>
      </c>
      <c r="H299">
        <v>66</v>
      </c>
      <c r="I299" t="str">
        <f>IFERROR(VLOOKUP(C299,Merchants!$A:$D,2,FALSE),"Merchant not found")</f>
        <v>Merchant_024</v>
      </c>
      <c r="J299" t="str">
        <f>IFERROR(VLOOKUP(C299,Merchants!$A:$D,3,FALSE),"Merchant not found")</f>
        <v>grocery</v>
      </c>
      <c r="K299" t="str">
        <f>IFERROR(VLOOKUP(C299,Merchants!$A:$D,4,FALSE),"Merchant not found")</f>
        <v>North</v>
      </c>
    </row>
    <row r="300" spans="1:11" x14ac:dyDescent="0.35">
      <c r="A300" t="s">
        <v>663</v>
      </c>
      <c r="B300">
        <v>218</v>
      </c>
      <c r="C300">
        <v>6</v>
      </c>
      <c r="D300" t="s">
        <v>664</v>
      </c>
      <c r="E300">
        <v>99</v>
      </c>
      <c r="F300" t="s">
        <v>68</v>
      </c>
      <c r="G300" t="s">
        <v>65</v>
      </c>
      <c r="H300">
        <v>55</v>
      </c>
      <c r="I300" t="str">
        <f>IFERROR(VLOOKUP(C300,Merchants!$A:$D,2,FALSE),"Merchant not found")</f>
        <v>Merchant_006</v>
      </c>
      <c r="J300" t="str">
        <f>IFERROR(VLOOKUP(C300,Merchants!$A:$D,3,FALSE),"Merchant not found")</f>
        <v>food_delivery</v>
      </c>
      <c r="K300" t="str">
        <f>IFERROR(VLOOKUP(C300,Merchants!$A:$D,4,FALSE),"Merchant not found")</f>
        <v>South</v>
      </c>
    </row>
    <row r="301" spans="1:11" x14ac:dyDescent="0.35">
      <c r="A301" t="s">
        <v>665</v>
      </c>
      <c r="B301">
        <v>151</v>
      </c>
      <c r="C301">
        <v>21</v>
      </c>
      <c r="D301" t="s">
        <v>666</v>
      </c>
      <c r="E301">
        <v>49</v>
      </c>
      <c r="F301" t="s">
        <v>68</v>
      </c>
      <c r="G301" t="s">
        <v>65</v>
      </c>
      <c r="H301">
        <v>13</v>
      </c>
      <c r="I301" t="str">
        <f>IFERROR(VLOOKUP(C301,Merchants!$A:$D,2,FALSE),"Merchant not found")</f>
        <v>Merchant_021</v>
      </c>
      <c r="J301" t="str">
        <f>IFERROR(VLOOKUP(C301,Merchants!$A:$D,3,FALSE),"Merchant not found")</f>
        <v>food_delivery</v>
      </c>
      <c r="K301" t="str">
        <f>IFERROR(VLOOKUP(C301,Merchants!$A:$D,4,FALSE),"Merchant not found")</f>
        <v>East</v>
      </c>
    </row>
    <row r="302" spans="1:11" x14ac:dyDescent="0.35">
      <c r="A302" t="s">
        <v>667</v>
      </c>
      <c r="B302">
        <v>152</v>
      </c>
      <c r="C302">
        <v>20</v>
      </c>
      <c r="D302" t="s">
        <v>668</v>
      </c>
      <c r="E302">
        <v>49</v>
      </c>
      <c r="F302" t="s">
        <v>68</v>
      </c>
      <c r="G302" t="s">
        <v>65</v>
      </c>
      <c r="H302">
        <v>57</v>
      </c>
      <c r="I302" t="str">
        <f>IFERROR(VLOOKUP(C302,Merchants!$A:$D,2,FALSE),"Merchant not found")</f>
        <v>Merchant_020</v>
      </c>
      <c r="J302" t="str">
        <f>IFERROR(VLOOKUP(C302,Merchants!$A:$D,3,FALSE),"Merchant not found")</f>
        <v>food_delivery</v>
      </c>
      <c r="K302" t="str">
        <f>IFERROR(VLOOKUP(C302,Merchants!$A:$D,4,FALSE),"Merchant not found")</f>
        <v>East</v>
      </c>
    </row>
    <row r="303" spans="1:11" x14ac:dyDescent="0.35">
      <c r="A303" t="s">
        <v>669</v>
      </c>
      <c r="B303">
        <v>86</v>
      </c>
      <c r="C303">
        <v>29</v>
      </c>
      <c r="D303" t="s">
        <v>670</v>
      </c>
      <c r="E303">
        <v>149</v>
      </c>
      <c r="F303" t="s">
        <v>90</v>
      </c>
      <c r="G303" t="s">
        <v>65</v>
      </c>
      <c r="H303">
        <v>44</v>
      </c>
      <c r="I303" t="str">
        <f>IFERROR(VLOOKUP(C303,Merchants!$A:$D,2,FALSE),"Merchant not found")</f>
        <v>Merchant_029</v>
      </c>
      <c r="J303" t="str">
        <f>IFERROR(VLOOKUP(C303,Merchants!$A:$D,3,FALSE),"Merchant not found")</f>
        <v>ecommerce</v>
      </c>
      <c r="K303" t="str">
        <f>IFERROR(VLOOKUP(C303,Merchants!$A:$D,4,FALSE),"Merchant not found")</f>
        <v>North</v>
      </c>
    </row>
    <row r="304" spans="1:11" x14ac:dyDescent="0.35">
      <c r="A304" t="s">
        <v>671</v>
      </c>
      <c r="B304">
        <v>181</v>
      </c>
      <c r="C304">
        <v>40</v>
      </c>
      <c r="D304" t="s">
        <v>672</v>
      </c>
      <c r="E304">
        <v>149</v>
      </c>
      <c r="F304" t="s">
        <v>68</v>
      </c>
      <c r="G304" t="s">
        <v>65</v>
      </c>
      <c r="H304">
        <v>55</v>
      </c>
      <c r="I304" t="str">
        <f>IFERROR(VLOOKUP(C304,Merchants!$A:$D,2,FALSE),"Merchant not found")</f>
        <v>Merchant_040</v>
      </c>
      <c r="J304" t="str">
        <f>IFERROR(VLOOKUP(C304,Merchants!$A:$D,3,FALSE),"Merchant not found")</f>
        <v>entertainment</v>
      </c>
      <c r="K304" t="str">
        <f>IFERROR(VLOOKUP(C304,Merchants!$A:$D,4,FALSE),"Merchant not found")</f>
        <v>South</v>
      </c>
    </row>
    <row r="305" spans="1:11" x14ac:dyDescent="0.35">
      <c r="A305" t="s">
        <v>673</v>
      </c>
      <c r="B305">
        <v>30</v>
      </c>
      <c r="C305">
        <v>5</v>
      </c>
      <c r="D305" t="s">
        <v>674</v>
      </c>
      <c r="E305">
        <v>299</v>
      </c>
      <c r="F305" t="s">
        <v>68</v>
      </c>
      <c r="G305" t="s">
        <v>65</v>
      </c>
      <c r="H305">
        <v>85</v>
      </c>
      <c r="I305" t="str">
        <f>IFERROR(VLOOKUP(C305,Merchants!$A:$D,2,FALSE),"Merchant not found")</f>
        <v>Merchant_005</v>
      </c>
      <c r="J305" t="str">
        <f>IFERROR(VLOOKUP(C305,Merchants!$A:$D,3,FALSE),"Merchant not found")</f>
        <v>recharge</v>
      </c>
      <c r="K305" t="str">
        <f>IFERROR(VLOOKUP(C305,Merchants!$A:$D,4,FALSE),"Merchant not found")</f>
        <v>South</v>
      </c>
    </row>
    <row r="306" spans="1:11" x14ac:dyDescent="0.35">
      <c r="A306" t="s">
        <v>675</v>
      </c>
      <c r="B306">
        <v>263</v>
      </c>
      <c r="C306">
        <v>11</v>
      </c>
      <c r="D306" t="s">
        <v>676</v>
      </c>
      <c r="E306">
        <v>149</v>
      </c>
      <c r="F306" t="s">
        <v>64</v>
      </c>
      <c r="G306" t="s">
        <v>65</v>
      </c>
      <c r="H306">
        <v>3</v>
      </c>
      <c r="I306" t="str">
        <f>IFERROR(VLOOKUP(C306,Merchants!$A:$D,2,FALSE),"Merchant not found")</f>
        <v>Merchant_011</v>
      </c>
      <c r="J306" t="str">
        <f>IFERROR(VLOOKUP(C306,Merchants!$A:$D,3,FALSE),"Merchant not found")</f>
        <v>ecommerce</v>
      </c>
      <c r="K306" t="str">
        <f>IFERROR(VLOOKUP(C306,Merchants!$A:$D,4,FALSE),"Merchant not found")</f>
        <v>North</v>
      </c>
    </row>
    <row r="307" spans="1:11" x14ac:dyDescent="0.35">
      <c r="A307" t="s">
        <v>677</v>
      </c>
      <c r="B307">
        <v>225</v>
      </c>
      <c r="C307">
        <v>3</v>
      </c>
      <c r="D307" t="s">
        <v>678</v>
      </c>
      <c r="E307">
        <v>99</v>
      </c>
      <c r="F307" t="s">
        <v>73</v>
      </c>
      <c r="G307" t="s">
        <v>65</v>
      </c>
      <c r="H307">
        <v>16</v>
      </c>
      <c r="I307" t="str">
        <f>IFERROR(VLOOKUP(C307,Merchants!$A:$D,2,FALSE),"Merchant not found")</f>
        <v>Merchant_003</v>
      </c>
      <c r="J307" t="str">
        <f>IFERROR(VLOOKUP(C307,Merchants!$A:$D,3,FALSE),"Merchant not found")</f>
        <v>grocery</v>
      </c>
      <c r="K307" t="str">
        <f>IFERROR(VLOOKUP(C307,Merchants!$A:$D,4,FALSE),"Merchant not found")</f>
        <v>East</v>
      </c>
    </row>
    <row r="308" spans="1:11" x14ac:dyDescent="0.35">
      <c r="A308" t="s">
        <v>679</v>
      </c>
      <c r="B308">
        <v>331</v>
      </c>
      <c r="C308">
        <v>24</v>
      </c>
      <c r="D308" t="s">
        <v>680</v>
      </c>
      <c r="E308">
        <v>49</v>
      </c>
      <c r="F308" t="s">
        <v>90</v>
      </c>
      <c r="G308" t="s">
        <v>65</v>
      </c>
      <c r="H308">
        <v>46</v>
      </c>
      <c r="I308" t="str">
        <f>IFERROR(VLOOKUP(C308,Merchants!$A:$D,2,FALSE),"Merchant not found")</f>
        <v>Merchant_024</v>
      </c>
      <c r="J308" t="str">
        <f>IFERROR(VLOOKUP(C308,Merchants!$A:$D,3,FALSE),"Merchant not found")</f>
        <v>grocery</v>
      </c>
      <c r="K308" t="str">
        <f>IFERROR(VLOOKUP(C308,Merchants!$A:$D,4,FALSE),"Merchant not found")</f>
        <v>North</v>
      </c>
    </row>
    <row r="309" spans="1:11" x14ac:dyDescent="0.35">
      <c r="A309" t="s">
        <v>681</v>
      </c>
      <c r="B309">
        <v>310</v>
      </c>
      <c r="C309">
        <v>10</v>
      </c>
      <c r="D309" t="s">
        <v>682</v>
      </c>
      <c r="E309">
        <v>1499</v>
      </c>
      <c r="F309" t="s">
        <v>90</v>
      </c>
      <c r="G309" t="s">
        <v>65</v>
      </c>
      <c r="H309">
        <v>86</v>
      </c>
      <c r="I309" t="str">
        <f>IFERROR(VLOOKUP(C309,Merchants!$A:$D,2,FALSE),"Merchant not found")</f>
        <v>Merchant_010</v>
      </c>
      <c r="J309" t="str">
        <f>IFERROR(VLOOKUP(C309,Merchants!$A:$D,3,FALSE),"Merchant not found")</f>
        <v>grocery</v>
      </c>
      <c r="K309" t="str">
        <f>IFERROR(VLOOKUP(C309,Merchants!$A:$D,4,FALSE),"Merchant not found")</f>
        <v>West</v>
      </c>
    </row>
    <row r="310" spans="1:11" x14ac:dyDescent="0.35">
      <c r="A310" t="s">
        <v>683</v>
      </c>
      <c r="B310">
        <v>228</v>
      </c>
      <c r="C310">
        <v>5</v>
      </c>
      <c r="D310" t="s">
        <v>684</v>
      </c>
      <c r="E310">
        <v>49</v>
      </c>
      <c r="F310" t="s">
        <v>68</v>
      </c>
      <c r="G310" t="s">
        <v>65</v>
      </c>
      <c r="H310">
        <v>73</v>
      </c>
      <c r="I310" t="str">
        <f>IFERROR(VLOOKUP(C310,Merchants!$A:$D,2,FALSE),"Merchant not found")</f>
        <v>Merchant_005</v>
      </c>
      <c r="J310" t="str">
        <f>IFERROR(VLOOKUP(C310,Merchants!$A:$D,3,FALSE),"Merchant not found")</f>
        <v>recharge</v>
      </c>
      <c r="K310" t="str">
        <f>IFERROR(VLOOKUP(C310,Merchants!$A:$D,4,FALSE),"Merchant not found")</f>
        <v>South</v>
      </c>
    </row>
    <row r="311" spans="1:11" x14ac:dyDescent="0.35">
      <c r="A311" t="s">
        <v>685</v>
      </c>
      <c r="B311">
        <v>204</v>
      </c>
      <c r="C311">
        <v>21</v>
      </c>
      <c r="D311" t="s">
        <v>686</v>
      </c>
      <c r="E311">
        <v>499</v>
      </c>
      <c r="F311" t="s">
        <v>68</v>
      </c>
      <c r="G311" t="s">
        <v>65</v>
      </c>
      <c r="H311">
        <v>83</v>
      </c>
      <c r="I311" t="str">
        <f>IFERROR(VLOOKUP(C311,Merchants!$A:$D,2,FALSE),"Merchant not found")</f>
        <v>Merchant_021</v>
      </c>
      <c r="J311" t="str">
        <f>IFERROR(VLOOKUP(C311,Merchants!$A:$D,3,FALSE),"Merchant not found")</f>
        <v>food_delivery</v>
      </c>
      <c r="K311" t="str">
        <f>IFERROR(VLOOKUP(C311,Merchants!$A:$D,4,FALSE),"Merchant not found")</f>
        <v>East</v>
      </c>
    </row>
    <row r="312" spans="1:11" x14ac:dyDescent="0.35">
      <c r="A312" t="s">
        <v>687</v>
      </c>
      <c r="B312">
        <v>14</v>
      </c>
      <c r="C312">
        <v>12</v>
      </c>
      <c r="D312" t="s">
        <v>228</v>
      </c>
      <c r="E312">
        <v>799</v>
      </c>
      <c r="F312" t="s">
        <v>73</v>
      </c>
      <c r="G312" t="s">
        <v>65</v>
      </c>
      <c r="H312">
        <v>63</v>
      </c>
      <c r="I312" t="str">
        <f>IFERROR(VLOOKUP(C312,Merchants!$A:$D,2,FALSE),"Merchant not found")</f>
        <v>Merchant_012</v>
      </c>
      <c r="J312" t="str">
        <f>IFERROR(VLOOKUP(C312,Merchants!$A:$D,3,FALSE),"Merchant not found")</f>
        <v>ecommerce</v>
      </c>
      <c r="K312" t="str">
        <f>IFERROR(VLOOKUP(C312,Merchants!$A:$D,4,FALSE),"Merchant not found")</f>
        <v>East</v>
      </c>
    </row>
    <row r="313" spans="1:11" x14ac:dyDescent="0.35">
      <c r="A313" t="s">
        <v>688</v>
      </c>
      <c r="B313">
        <v>288</v>
      </c>
      <c r="C313">
        <v>8</v>
      </c>
      <c r="D313" t="s">
        <v>689</v>
      </c>
      <c r="E313">
        <v>49</v>
      </c>
      <c r="F313" t="s">
        <v>68</v>
      </c>
      <c r="G313" t="s">
        <v>65</v>
      </c>
      <c r="H313">
        <v>33</v>
      </c>
      <c r="I313" t="str">
        <f>IFERROR(VLOOKUP(C313,Merchants!$A:$D,2,FALSE),"Merchant not found")</f>
        <v>Merchant_008</v>
      </c>
      <c r="J313" t="str">
        <f>IFERROR(VLOOKUP(C313,Merchants!$A:$D,3,FALSE),"Merchant not found")</f>
        <v>food_delivery</v>
      </c>
      <c r="K313" t="str">
        <f>IFERROR(VLOOKUP(C313,Merchants!$A:$D,4,FALSE),"Merchant not found")</f>
        <v>North</v>
      </c>
    </row>
    <row r="314" spans="1:11" x14ac:dyDescent="0.35">
      <c r="A314" t="s">
        <v>690</v>
      </c>
      <c r="B314">
        <v>229</v>
      </c>
      <c r="C314">
        <v>14</v>
      </c>
      <c r="D314" t="s">
        <v>691</v>
      </c>
      <c r="E314">
        <v>1499</v>
      </c>
      <c r="F314" t="s">
        <v>68</v>
      </c>
      <c r="G314" t="s">
        <v>65</v>
      </c>
      <c r="H314">
        <v>78</v>
      </c>
      <c r="I314" t="str">
        <f>IFERROR(VLOOKUP(C314,Merchants!$A:$D,2,FALSE),"Merchant not found")</f>
        <v>Merchant_014</v>
      </c>
      <c r="J314" t="str">
        <f>IFERROR(VLOOKUP(C314,Merchants!$A:$D,3,FALSE),"Merchant not found")</f>
        <v>grocery</v>
      </c>
      <c r="K314" t="str">
        <f>IFERROR(VLOOKUP(C314,Merchants!$A:$D,4,FALSE),"Merchant not found")</f>
        <v>East</v>
      </c>
    </row>
    <row r="315" spans="1:11" x14ac:dyDescent="0.35">
      <c r="A315" t="s">
        <v>692</v>
      </c>
      <c r="B315">
        <v>252</v>
      </c>
      <c r="C315">
        <v>13</v>
      </c>
      <c r="D315" t="s">
        <v>693</v>
      </c>
      <c r="E315">
        <v>99</v>
      </c>
      <c r="F315" t="s">
        <v>64</v>
      </c>
      <c r="G315" t="s">
        <v>65</v>
      </c>
      <c r="H315">
        <v>15</v>
      </c>
      <c r="I315" t="str">
        <f>IFERROR(VLOOKUP(C315,Merchants!$A:$D,2,FALSE),"Merchant not found")</f>
        <v>Merchant_013</v>
      </c>
      <c r="J315" t="str">
        <f>IFERROR(VLOOKUP(C315,Merchants!$A:$D,3,FALSE),"Merchant not found")</f>
        <v>travel</v>
      </c>
      <c r="K315" t="str">
        <f>IFERROR(VLOOKUP(C315,Merchants!$A:$D,4,FALSE),"Merchant not found")</f>
        <v>East</v>
      </c>
    </row>
    <row r="316" spans="1:11" x14ac:dyDescent="0.35">
      <c r="A316" t="s">
        <v>694</v>
      </c>
      <c r="B316">
        <v>89</v>
      </c>
      <c r="C316">
        <v>29</v>
      </c>
      <c r="D316" t="s">
        <v>695</v>
      </c>
      <c r="E316">
        <v>799</v>
      </c>
      <c r="F316" t="s">
        <v>68</v>
      </c>
      <c r="G316" t="s">
        <v>65</v>
      </c>
      <c r="H316">
        <v>11</v>
      </c>
      <c r="I316" t="str">
        <f>IFERROR(VLOOKUP(C316,Merchants!$A:$D,2,FALSE),"Merchant not found")</f>
        <v>Merchant_029</v>
      </c>
      <c r="J316" t="str">
        <f>IFERROR(VLOOKUP(C316,Merchants!$A:$D,3,FALSE),"Merchant not found")</f>
        <v>ecommerce</v>
      </c>
      <c r="K316" t="str">
        <f>IFERROR(VLOOKUP(C316,Merchants!$A:$D,4,FALSE),"Merchant not found")</f>
        <v>North</v>
      </c>
    </row>
    <row r="317" spans="1:11" x14ac:dyDescent="0.35">
      <c r="A317" t="s">
        <v>696</v>
      </c>
      <c r="B317">
        <v>164</v>
      </c>
      <c r="C317">
        <v>23</v>
      </c>
      <c r="D317" t="s">
        <v>697</v>
      </c>
      <c r="E317">
        <v>49</v>
      </c>
      <c r="F317" t="s">
        <v>73</v>
      </c>
      <c r="G317" t="s">
        <v>65</v>
      </c>
      <c r="H317">
        <v>90</v>
      </c>
      <c r="I317" t="str">
        <f>IFERROR(VLOOKUP(C317,Merchants!$A:$D,2,FALSE),"Merchant not found")</f>
        <v>Merchant_023</v>
      </c>
      <c r="J317" t="str">
        <f>IFERROR(VLOOKUP(C317,Merchants!$A:$D,3,FALSE),"Merchant not found")</f>
        <v>travel</v>
      </c>
      <c r="K317" t="str">
        <f>IFERROR(VLOOKUP(C317,Merchants!$A:$D,4,FALSE),"Merchant not found")</f>
        <v>North</v>
      </c>
    </row>
    <row r="318" spans="1:11" x14ac:dyDescent="0.35">
      <c r="A318" t="s">
        <v>698</v>
      </c>
      <c r="B318">
        <v>149</v>
      </c>
      <c r="C318">
        <v>20</v>
      </c>
      <c r="D318" t="s">
        <v>699</v>
      </c>
      <c r="E318">
        <v>299</v>
      </c>
      <c r="F318" t="s">
        <v>64</v>
      </c>
      <c r="G318" t="s">
        <v>65</v>
      </c>
      <c r="H318">
        <v>20</v>
      </c>
      <c r="I318" t="str">
        <f>IFERROR(VLOOKUP(C318,Merchants!$A:$D,2,FALSE),"Merchant not found")</f>
        <v>Merchant_020</v>
      </c>
      <c r="J318" t="str">
        <f>IFERROR(VLOOKUP(C318,Merchants!$A:$D,3,FALSE),"Merchant not found")</f>
        <v>food_delivery</v>
      </c>
      <c r="K318" t="str">
        <f>IFERROR(VLOOKUP(C318,Merchants!$A:$D,4,FALSE),"Merchant not found")</f>
        <v>East</v>
      </c>
    </row>
    <row r="319" spans="1:11" x14ac:dyDescent="0.35">
      <c r="A319" t="s">
        <v>700</v>
      </c>
      <c r="B319">
        <v>327</v>
      </c>
      <c r="C319">
        <v>12</v>
      </c>
      <c r="D319" t="s">
        <v>701</v>
      </c>
      <c r="E319">
        <v>49</v>
      </c>
      <c r="F319" t="s">
        <v>73</v>
      </c>
      <c r="G319" t="s">
        <v>65</v>
      </c>
      <c r="H319">
        <v>46</v>
      </c>
      <c r="I319" t="str">
        <f>IFERROR(VLOOKUP(C319,Merchants!$A:$D,2,FALSE),"Merchant not found")</f>
        <v>Merchant_012</v>
      </c>
      <c r="J319" t="str">
        <f>IFERROR(VLOOKUP(C319,Merchants!$A:$D,3,FALSE),"Merchant not found")</f>
        <v>ecommerce</v>
      </c>
      <c r="K319" t="str">
        <f>IFERROR(VLOOKUP(C319,Merchants!$A:$D,4,FALSE),"Merchant not found")</f>
        <v>East</v>
      </c>
    </row>
    <row r="320" spans="1:11" x14ac:dyDescent="0.35">
      <c r="A320" t="s">
        <v>702</v>
      </c>
      <c r="B320">
        <v>103</v>
      </c>
      <c r="C320">
        <v>9</v>
      </c>
      <c r="D320" t="s">
        <v>703</v>
      </c>
      <c r="E320">
        <v>149</v>
      </c>
      <c r="F320" t="s">
        <v>68</v>
      </c>
      <c r="G320" t="s">
        <v>65</v>
      </c>
      <c r="H320">
        <v>30</v>
      </c>
      <c r="I320" t="str">
        <f>IFERROR(VLOOKUP(C320,Merchants!$A:$D,2,FALSE),"Merchant not found")</f>
        <v>Merchant_009</v>
      </c>
      <c r="J320" t="str">
        <f>IFERROR(VLOOKUP(C320,Merchants!$A:$D,3,FALSE),"Merchant not found")</f>
        <v>ecommerce</v>
      </c>
      <c r="K320" t="str">
        <f>IFERROR(VLOOKUP(C320,Merchants!$A:$D,4,FALSE),"Merchant not found")</f>
        <v>North</v>
      </c>
    </row>
    <row r="321" spans="1:11" x14ac:dyDescent="0.35">
      <c r="A321" t="s">
        <v>704</v>
      </c>
      <c r="B321">
        <v>185</v>
      </c>
      <c r="C321">
        <v>36</v>
      </c>
      <c r="D321" t="s">
        <v>705</v>
      </c>
      <c r="E321">
        <v>49</v>
      </c>
      <c r="F321" t="s">
        <v>64</v>
      </c>
      <c r="G321" t="s">
        <v>65</v>
      </c>
      <c r="H321">
        <v>73</v>
      </c>
      <c r="I321" t="str">
        <f>IFERROR(VLOOKUP(C321,Merchants!$A:$D,2,FALSE),"Merchant not found")</f>
        <v>Merchant_036</v>
      </c>
      <c r="J321" t="str">
        <f>IFERROR(VLOOKUP(C321,Merchants!$A:$D,3,FALSE),"Merchant not found")</f>
        <v>entertainment</v>
      </c>
      <c r="K321" t="str">
        <f>IFERROR(VLOOKUP(C321,Merchants!$A:$D,4,FALSE),"Merchant not found")</f>
        <v>East</v>
      </c>
    </row>
    <row r="322" spans="1:11" x14ac:dyDescent="0.35">
      <c r="A322" t="s">
        <v>706</v>
      </c>
      <c r="B322">
        <v>283</v>
      </c>
      <c r="C322">
        <v>9</v>
      </c>
      <c r="D322" t="s">
        <v>707</v>
      </c>
      <c r="E322">
        <v>299</v>
      </c>
      <c r="F322" t="s">
        <v>68</v>
      </c>
      <c r="G322" t="s">
        <v>65</v>
      </c>
      <c r="H322">
        <v>78</v>
      </c>
      <c r="I322" t="str">
        <f>IFERROR(VLOOKUP(C322,Merchants!$A:$D,2,FALSE),"Merchant not found")</f>
        <v>Merchant_009</v>
      </c>
      <c r="J322" t="str">
        <f>IFERROR(VLOOKUP(C322,Merchants!$A:$D,3,FALSE),"Merchant not found")</f>
        <v>ecommerce</v>
      </c>
      <c r="K322" t="str">
        <f>IFERROR(VLOOKUP(C322,Merchants!$A:$D,4,FALSE),"Merchant not found")</f>
        <v>North</v>
      </c>
    </row>
    <row r="323" spans="1:11" x14ac:dyDescent="0.35">
      <c r="A323" t="s">
        <v>708</v>
      </c>
      <c r="B323">
        <v>159</v>
      </c>
      <c r="C323">
        <v>26</v>
      </c>
      <c r="D323" t="s">
        <v>709</v>
      </c>
      <c r="E323">
        <v>99</v>
      </c>
      <c r="F323" t="s">
        <v>68</v>
      </c>
      <c r="G323" t="s">
        <v>65</v>
      </c>
      <c r="H323">
        <v>91</v>
      </c>
      <c r="I323" t="str">
        <f>IFERROR(VLOOKUP(C323,Merchants!$A:$D,2,FALSE),"Merchant not found")</f>
        <v>Merchant_026</v>
      </c>
      <c r="J323" t="str">
        <f>IFERROR(VLOOKUP(C323,Merchants!$A:$D,3,FALSE),"Merchant not found")</f>
        <v>food_delivery</v>
      </c>
      <c r="K323" t="str">
        <f>IFERROR(VLOOKUP(C323,Merchants!$A:$D,4,FALSE),"Merchant not found")</f>
        <v>East</v>
      </c>
    </row>
    <row r="324" spans="1:11" x14ac:dyDescent="0.35">
      <c r="A324" t="s">
        <v>710</v>
      </c>
      <c r="B324">
        <v>211</v>
      </c>
      <c r="C324">
        <v>27</v>
      </c>
      <c r="D324" t="s">
        <v>711</v>
      </c>
      <c r="E324">
        <v>99</v>
      </c>
      <c r="F324" t="s">
        <v>64</v>
      </c>
      <c r="G324" t="s">
        <v>65</v>
      </c>
      <c r="H324">
        <v>73</v>
      </c>
      <c r="I324" t="str">
        <f>IFERROR(VLOOKUP(C324,Merchants!$A:$D,2,FALSE),"Merchant not found")</f>
        <v>Merchant_027</v>
      </c>
      <c r="J324" t="str">
        <f>IFERROR(VLOOKUP(C324,Merchants!$A:$D,3,FALSE),"Merchant not found")</f>
        <v>ecommerce</v>
      </c>
      <c r="K324" t="str">
        <f>IFERROR(VLOOKUP(C324,Merchants!$A:$D,4,FALSE),"Merchant not found")</f>
        <v>North</v>
      </c>
    </row>
    <row r="325" spans="1:11" x14ac:dyDescent="0.35">
      <c r="A325" t="s">
        <v>712</v>
      </c>
      <c r="B325">
        <v>329</v>
      </c>
      <c r="C325">
        <v>5</v>
      </c>
      <c r="D325" t="s">
        <v>713</v>
      </c>
      <c r="E325">
        <v>499</v>
      </c>
      <c r="F325" t="s">
        <v>73</v>
      </c>
      <c r="G325" t="s">
        <v>65</v>
      </c>
      <c r="H325">
        <v>57</v>
      </c>
      <c r="I325" t="str">
        <f>IFERROR(VLOOKUP(C325,Merchants!$A:$D,2,FALSE),"Merchant not found")</f>
        <v>Merchant_005</v>
      </c>
      <c r="J325" t="str">
        <f>IFERROR(VLOOKUP(C325,Merchants!$A:$D,3,FALSE),"Merchant not found")</f>
        <v>recharge</v>
      </c>
      <c r="K325" t="str">
        <f>IFERROR(VLOOKUP(C325,Merchants!$A:$D,4,FALSE),"Merchant not found")</f>
        <v>South</v>
      </c>
    </row>
    <row r="326" spans="1:11" x14ac:dyDescent="0.35">
      <c r="A326" t="s">
        <v>714</v>
      </c>
      <c r="B326">
        <v>177</v>
      </c>
      <c r="C326">
        <v>9</v>
      </c>
      <c r="D326" t="s">
        <v>715</v>
      </c>
      <c r="E326">
        <v>99</v>
      </c>
      <c r="F326" t="s">
        <v>68</v>
      </c>
      <c r="G326" t="s">
        <v>65</v>
      </c>
      <c r="H326">
        <v>99</v>
      </c>
      <c r="I326" t="str">
        <f>IFERROR(VLOOKUP(C326,Merchants!$A:$D,2,FALSE),"Merchant not found")</f>
        <v>Merchant_009</v>
      </c>
      <c r="J326" t="str">
        <f>IFERROR(VLOOKUP(C326,Merchants!$A:$D,3,FALSE),"Merchant not found")</f>
        <v>ecommerce</v>
      </c>
      <c r="K326" t="str">
        <f>IFERROR(VLOOKUP(C326,Merchants!$A:$D,4,FALSE),"Merchant not found")</f>
        <v>North</v>
      </c>
    </row>
    <row r="327" spans="1:11" x14ac:dyDescent="0.35">
      <c r="A327" t="s">
        <v>716</v>
      </c>
      <c r="B327">
        <v>94</v>
      </c>
      <c r="C327">
        <v>9</v>
      </c>
      <c r="D327" t="s">
        <v>717</v>
      </c>
      <c r="E327">
        <v>299</v>
      </c>
      <c r="F327" t="s">
        <v>68</v>
      </c>
      <c r="G327" t="s">
        <v>65</v>
      </c>
      <c r="H327">
        <v>55</v>
      </c>
      <c r="I327" t="str">
        <f>IFERROR(VLOOKUP(C327,Merchants!$A:$D,2,FALSE),"Merchant not found")</f>
        <v>Merchant_009</v>
      </c>
      <c r="J327" t="str">
        <f>IFERROR(VLOOKUP(C327,Merchants!$A:$D,3,FALSE),"Merchant not found")</f>
        <v>ecommerce</v>
      </c>
      <c r="K327" t="str">
        <f>IFERROR(VLOOKUP(C327,Merchants!$A:$D,4,FALSE),"Merchant not found")</f>
        <v>North</v>
      </c>
    </row>
    <row r="328" spans="1:11" x14ac:dyDescent="0.35">
      <c r="A328" t="s">
        <v>718</v>
      </c>
      <c r="B328">
        <v>64</v>
      </c>
      <c r="C328">
        <v>34</v>
      </c>
      <c r="D328" t="s">
        <v>719</v>
      </c>
      <c r="E328">
        <v>299</v>
      </c>
      <c r="F328" t="s">
        <v>68</v>
      </c>
      <c r="G328" t="s">
        <v>65</v>
      </c>
      <c r="H328">
        <v>19</v>
      </c>
      <c r="I328" t="str">
        <f>IFERROR(VLOOKUP(C328,Merchants!$A:$D,2,FALSE),"Merchant not found")</f>
        <v>Merchant_034</v>
      </c>
      <c r="J328" t="str">
        <f>IFERROR(VLOOKUP(C328,Merchants!$A:$D,3,FALSE),"Merchant not found")</f>
        <v>travel</v>
      </c>
      <c r="K328" t="str">
        <f>IFERROR(VLOOKUP(C328,Merchants!$A:$D,4,FALSE),"Merchant not found")</f>
        <v>South</v>
      </c>
    </row>
    <row r="329" spans="1:11" x14ac:dyDescent="0.35">
      <c r="A329" t="s">
        <v>720</v>
      </c>
      <c r="B329">
        <v>166</v>
      </c>
      <c r="C329">
        <v>15</v>
      </c>
      <c r="D329" t="s">
        <v>721</v>
      </c>
      <c r="E329">
        <v>49</v>
      </c>
      <c r="F329" t="s">
        <v>68</v>
      </c>
      <c r="G329" t="s">
        <v>65</v>
      </c>
      <c r="H329">
        <v>44</v>
      </c>
      <c r="I329" t="str">
        <f>IFERROR(VLOOKUP(C329,Merchants!$A:$D,2,FALSE),"Merchant not found")</f>
        <v>Merchant_015</v>
      </c>
      <c r="J329" t="str">
        <f>IFERROR(VLOOKUP(C329,Merchants!$A:$D,3,FALSE),"Merchant not found")</f>
        <v>travel</v>
      </c>
      <c r="K329" t="str">
        <f>IFERROR(VLOOKUP(C329,Merchants!$A:$D,4,FALSE),"Merchant not found")</f>
        <v>North</v>
      </c>
    </row>
    <row r="330" spans="1:11" x14ac:dyDescent="0.35">
      <c r="A330" t="s">
        <v>722</v>
      </c>
      <c r="B330">
        <v>41</v>
      </c>
      <c r="C330">
        <v>17</v>
      </c>
      <c r="D330" t="s">
        <v>723</v>
      </c>
      <c r="E330">
        <v>299</v>
      </c>
      <c r="F330" t="s">
        <v>64</v>
      </c>
      <c r="G330" t="s">
        <v>65</v>
      </c>
      <c r="H330">
        <v>25</v>
      </c>
      <c r="I330" t="str">
        <f>IFERROR(VLOOKUP(C330,Merchants!$A:$D,2,FALSE),"Merchant not found")</f>
        <v>Merchant_017</v>
      </c>
      <c r="J330" t="str">
        <f>IFERROR(VLOOKUP(C330,Merchants!$A:$D,3,FALSE),"Merchant not found")</f>
        <v>grocery</v>
      </c>
      <c r="K330" t="str">
        <f>IFERROR(VLOOKUP(C330,Merchants!$A:$D,4,FALSE),"Merchant not found")</f>
        <v>North</v>
      </c>
    </row>
    <row r="331" spans="1:11" x14ac:dyDescent="0.35">
      <c r="A331" t="s">
        <v>724</v>
      </c>
      <c r="B331">
        <v>65</v>
      </c>
      <c r="C331">
        <v>20</v>
      </c>
      <c r="D331" t="s">
        <v>725</v>
      </c>
      <c r="E331">
        <v>99</v>
      </c>
      <c r="F331" t="s">
        <v>90</v>
      </c>
      <c r="G331" t="s">
        <v>65</v>
      </c>
      <c r="H331">
        <v>78</v>
      </c>
      <c r="I331" t="str">
        <f>IFERROR(VLOOKUP(C331,Merchants!$A:$D,2,FALSE),"Merchant not found")</f>
        <v>Merchant_020</v>
      </c>
      <c r="J331" t="str">
        <f>IFERROR(VLOOKUP(C331,Merchants!$A:$D,3,FALSE),"Merchant not found")</f>
        <v>food_delivery</v>
      </c>
      <c r="K331" t="str">
        <f>IFERROR(VLOOKUP(C331,Merchants!$A:$D,4,FALSE),"Merchant not found")</f>
        <v>East</v>
      </c>
    </row>
    <row r="332" spans="1:11" x14ac:dyDescent="0.35">
      <c r="A332" t="s">
        <v>726</v>
      </c>
      <c r="B332">
        <v>329</v>
      </c>
      <c r="C332">
        <v>11</v>
      </c>
      <c r="D332" t="s">
        <v>727</v>
      </c>
      <c r="E332">
        <v>499</v>
      </c>
      <c r="F332" t="s">
        <v>68</v>
      </c>
      <c r="G332" t="s">
        <v>65</v>
      </c>
      <c r="H332">
        <v>75</v>
      </c>
      <c r="I332" t="str">
        <f>IFERROR(VLOOKUP(C332,Merchants!$A:$D,2,FALSE),"Merchant not found")</f>
        <v>Merchant_011</v>
      </c>
      <c r="J332" t="str">
        <f>IFERROR(VLOOKUP(C332,Merchants!$A:$D,3,FALSE),"Merchant not found")</f>
        <v>ecommerce</v>
      </c>
      <c r="K332" t="str">
        <f>IFERROR(VLOOKUP(C332,Merchants!$A:$D,4,FALSE),"Merchant not found")</f>
        <v>North</v>
      </c>
    </row>
    <row r="333" spans="1:11" x14ac:dyDescent="0.35">
      <c r="A333" t="s">
        <v>728</v>
      </c>
      <c r="B333">
        <v>338</v>
      </c>
      <c r="C333">
        <v>40</v>
      </c>
      <c r="D333" t="s">
        <v>729</v>
      </c>
      <c r="E333">
        <v>149</v>
      </c>
      <c r="F333" t="s">
        <v>68</v>
      </c>
      <c r="G333" t="s">
        <v>65</v>
      </c>
      <c r="H333">
        <v>92</v>
      </c>
      <c r="I333" t="str">
        <f>IFERROR(VLOOKUP(C333,Merchants!$A:$D,2,FALSE),"Merchant not found")</f>
        <v>Merchant_040</v>
      </c>
      <c r="J333" t="str">
        <f>IFERROR(VLOOKUP(C333,Merchants!$A:$D,3,FALSE),"Merchant not found")</f>
        <v>entertainment</v>
      </c>
      <c r="K333" t="str">
        <f>IFERROR(VLOOKUP(C333,Merchants!$A:$D,4,FALSE),"Merchant not found")</f>
        <v>South</v>
      </c>
    </row>
    <row r="334" spans="1:11" x14ac:dyDescent="0.35">
      <c r="A334" t="s">
        <v>730</v>
      </c>
      <c r="B334">
        <v>289</v>
      </c>
      <c r="C334">
        <v>3</v>
      </c>
      <c r="D334" t="s">
        <v>731</v>
      </c>
      <c r="E334">
        <v>49</v>
      </c>
      <c r="F334" t="s">
        <v>73</v>
      </c>
      <c r="G334" t="s">
        <v>65</v>
      </c>
      <c r="H334">
        <v>3</v>
      </c>
      <c r="I334" t="str">
        <f>IFERROR(VLOOKUP(C334,Merchants!$A:$D,2,FALSE),"Merchant not found")</f>
        <v>Merchant_003</v>
      </c>
      <c r="J334" t="str">
        <f>IFERROR(VLOOKUP(C334,Merchants!$A:$D,3,FALSE),"Merchant not found")</f>
        <v>grocery</v>
      </c>
      <c r="K334" t="str">
        <f>IFERROR(VLOOKUP(C334,Merchants!$A:$D,4,FALSE),"Merchant not found")</f>
        <v>East</v>
      </c>
    </row>
    <row r="335" spans="1:11" x14ac:dyDescent="0.35">
      <c r="A335" t="s">
        <v>732</v>
      </c>
      <c r="B335">
        <v>296</v>
      </c>
      <c r="C335">
        <v>17</v>
      </c>
      <c r="D335" t="s">
        <v>733</v>
      </c>
      <c r="E335">
        <v>99</v>
      </c>
      <c r="F335" t="s">
        <v>68</v>
      </c>
      <c r="G335" t="s">
        <v>65</v>
      </c>
      <c r="H335">
        <v>83</v>
      </c>
      <c r="I335" t="str">
        <f>IFERROR(VLOOKUP(C335,Merchants!$A:$D,2,FALSE),"Merchant not found")</f>
        <v>Merchant_017</v>
      </c>
      <c r="J335" t="str">
        <f>IFERROR(VLOOKUP(C335,Merchants!$A:$D,3,FALSE),"Merchant not found")</f>
        <v>grocery</v>
      </c>
      <c r="K335" t="str">
        <f>IFERROR(VLOOKUP(C335,Merchants!$A:$D,4,FALSE),"Merchant not found")</f>
        <v>North</v>
      </c>
    </row>
    <row r="336" spans="1:11" x14ac:dyDescent="0.35">
      <c r="A336" t="s">
        <v>734</v>
      </c>
      <c r="B336">
        <v>317</v>
      </c>
      <c r="C336">
        <v>2</v>
      </c>
      <c r="D336" t="s">
        <v>735</v>
      </c>
      <c r="E336">
        <v>499</v>
      </c>
      <c r="F336" t="s">
        <v>90</v>
      </c>
      <c r="G336" t="s">
        <v>65</v>
      </c>
      <c r="H336">
        <v>63</v>
      </c>
      <c r="I336" t="str">
        <f>IFERROR(VLOOKUP(C336,Merchants!$A:$D,2,FALSE),"Merchant not found")</f>
        <v>Merchant_002</v>
      </c>
      <c r="J336" t="str">
        <f>IFERROR(VLOOKUP(C336,Merchants!$A:$D,3,FALSE),"Merchant not found")</f>
        <v>grocery</v>
      </c>
      <c r="K336" t="str">
        <f>IFERROR(VLOOKUP(C336,Merchants!$A:$D,4,FALSE),"Merchant not found")</f>
        <v>West</v>
      </c>
    </row>
    <row r="337" spans="1:11" x14ac:dyDescent="0.35">
      <c r="A337" t="s">
        <v>736</v>
      </c>
      <c r="B337">
        <v>149</v>
      </c>
      <c r="C337">
        <v>20</v>
      </c>
      <c r="D337" t="s">
        <v>737</v>
      </c>
      <c r="E337">
        <v>499</v>
      </c>
      <c r="F337" t="s">
        <v>90</v>
      </c>
      <c r="G337" t="s">
        <v>65</v>
      </c>
      <c r="H337">
        <v>61</v>
      </c>
      <c r="I337" t="str">
        <f>IFERROR(VLOOKUP(C337,Merchants!$A:$D,2,FALSE),"Merchant not found")</f>
        <v>Merchant_020</v>
      </c>
      <c r="J337" t="str">
        <f>IFERROR(VLOOKUP(C337,Merchants!$A:$D,3,FALSE),"Merchant not found")</f>
        <v>food_delivery</v>
      </c>
      <c r="K337" t="str">
        <f>IFERROR(VLOOKUP(C337,Merchants!$A:$D,4,FALSE),"Merchant not found")</f>
        <v>East</v>
      </c>
    </row>
    <row r="338" spans="1:11" x14ac:dyDescent="0.35">
      <c r="A338" t="s">
        <v>738</v>
      </c>
      <c r="B338">
        <v>153</v>
      </c>
      <c r="C338">
        <v>30</v>
      </c>
      <c r="D338" t="s">
        <v>739</v>
      </c>
      <c r="E338">
        <v>299</v>
      </c>
      <c r="F338" t="s">
        <v>68</v>
      </c>
      <c r="G338" t="s">
        <v>65</v>
      </c>
      <c r="H338">
        <v>9</v>
      </c>
      <c r="I338" t="str">
        <f>IFERROR(VLOOKUP(C338,Merchants!$A:$D,2,FALSE),"Merchant not found")</f>
        <v>Merchant_030</v>
      </c>
      <c r="J338" t="str">
        <f>IFERROR(VLOOKUP(C338,Merchants!$A:$D,3,FALSE),"Merchant not found")</f>
        <v>travel</v>
      </c>
      <c r="K338" t="str">
        <f>IFERROR(VLOOKUP(C338,Merchants!$A:$D,4,FALSE),"Merchant not found")</f>
        <v>West</v>
      </c>
    </row>
    <row r="339" spans="1:11" x14ac:dyDescent="0.35">
      <c r="A339" t="s">
        <v>740</v>
      </c>
      <c r="B339">
        <v>226</v>
      </c>
      <c r="C339">
        <v>27</v>
      </c>
      <c r="D339" t="s">
        <v>741</v>
      </c>
      <c r="E339">
        <v>2999</v>
      </c>
      <c r="F339" t="s">
        <v>68</v>
      </c>
      <c r="G339" t="s">
        <v>116</v>
      </c>
      <c r="H339">
        <v>61</v>
      </c>
      <c r="I339" t="str">
        <f>IFERROR(VLOOKUP(C339,Merchants!$A:$D,2,FALSE),"Merchant not found")</f>
        <v>Merchant_027</v>
      </c>
      <c r="J339" t="str">
        <f>IFERROR(VLOOKUP(C339,Merchants!$A:$D,3,FALSE),"Merchant not found")</f>
        <v>ecommerce</v>
      </c>
      <c r="K339" t="str">
        <f>IFERROR(VLOOKUP(C339,Merchants!$A:$D,4,FALSE),"Merchant not found")</f>
        <v>North</v>
      </c>
    </row>
    <row r="340" spans="1:11" x14ac:dyDescent="0.35">
      <c r="A340" t="s">
        <v>742</v>
      </c>
      <c r="B340">
        <v>311</v>
      </c>
      <c r="C340">
        <v>10</v>
      </c>
      <c r="D340" t="s">
        <v>743</v>
      </c>
      <c r="E340">
        <v>2999</v>
      </c>
      <c r="F340" t="s">
        <v>68</v>
      </c>
      <c r="G340" t="s">
        <v>65</v>
      </c>
      <c r="H340">
        <v>40</v>
      </c>
      <c r="I340" t="str">
        <f>IFERROR(VLOOKUP(C340,Merchants!$A:$D,2,FALSE),"Merchant not found")</f>
        <v>Merchant_010</v>
      </c>
      <c r="J340" t="str">
        <f>IFERROR(VLOOKUP(C340,Merchants!$A:$D,3,FALSE),"Merchant not found")</f>
        <v>grocery</v>
      </c>
      <c r="K340" t="str">
        <f>IFERROR(VLOOKUP(C340,Merchants!$A:$D,4,FALSE),"Merchant not found")</f>
        <v>West</v>
      </c>
    </row>
    <row r="341" spans="1:11" x14ac:dyDescent="0.35">
      <c r="A341" t="s">
        <v>744</v>
      </c>
      <c r="B341">
        <v>177</v>
      </c>
      <c r="C341">
        <v>26</v>
      </c>
      <c r="D341" t="s">
        <v>745</v>
      </c>
      <c r="E341">
        <v>1499</v>
      </c>
      <c r="F341" t="s">
        <v>68</v>
      </c>
      <c r="G341" t="s">
        <v>65</v>
      </c>
      <c r="H341">
        <v>16</v>
      </c>
      <c r="I341" t="str">
        <f>IFERROR(VLOOKUP(C341,Merchants!$A:$D,2,FALSE),"Merchant not found")</f>
        <v>Merchant_026</v>
      </c>
      <c r="J341" t="str">
        <f>IFERROR(VLOOKUP(C341,Merchants!$A:$D,3,FALSE),"Merchant not found")</f>
        <v>food_delivery</v>
      </c>
      <c r="K341" t="str">
        <f>IFERROR(VLOOKUP(C341,Merchants!$A:$D,4,FALSE),"Merchant not found")</f>
        <v>East</v>
      </c>
    </row>
    <row r="342" spans="1:11" x14ac:dyDescent="0.35">
      <c r="A342" t="s">
        <v>746</v>
      </c>
      <c r="B342">
        <v>288</v>
      </c>
      <c r="C342">
        <v>7</v>
      </c>
      <c r="D342" t="s">
        <v>747</v>
      </c>
      <c r="E342">
        <v>99</v>
      </c>
      <c r="F342" t="s">
        <v>73</v>
      </c>
      <c r="G342" t="s">
        <v>65</v>
      </c>
      <c r="H342">
        <v>40</v>
      </c>
      <c r="I342" t="str">
        <f>IFERROR(VLOOKUP(C342,Merchants!$A:$D,2,FALSE),"Merchant not found")</f>
        <v>Merchant_007</v>
      </c>
      <c r="J342" t="str">
        <f>IFERROR(VLOOKUP(C342,Merchants!$A:$D,3,FALSE),"Merchant not found")</f>
        <v>food_delivery</v>
      </c>
      <c r="K342" t="str">
        <f>IFERROR(VLOOKUP(C342,Merchants!$A:$D,4,FALSE),"Merchant not found")</f>
        <v>East</v>
      </c>
    </row>
    <row r="343" spans="1:11" x14ac:dyDescent="0.35">
      <c r="A343" t="s">
        <v>748</v>
      </c>
      <c r="B343">
        <v>137</v>
      </c>
      <c r="C343">
        <v>29</v>
      </c>
      <c r="D343" t="s">
        <v>749</v>
      </c>
      <c r="E343">
        <v>2999</v>
      </c>
      <c r="F343" t="s">
        <v>68</v>
      </c>
      <c r="G343" t="s">
        <v>91</v>
      </c>
      <c r="H343">
        <v>31</v>
      </c>
      <c r="I343" t="str">
        <f>IFERROR(VLOOKUP(C343,Merchants!$A:$D,2,FALSE),"Merchant not found")</f>
        <v>Merchant_029</v>
      </c>
      <c r="J343" t="str">
        <f>IFERROR(VLOOKUP(C343,Merchants!$A:$D,3,FALSE),"Merchant not found")</f>
        <v>ecommerce</v>
      </c>
      <c r="K343" t="str">
        <f>IFERROR(VLOOKUP(C343,Merchants!$A:$D,4,FALSE),"Merchant not found")</f>
        <v>North</v>
      </c>
    </row>
    <row r="344" spans="1:11" x14ac:dyDescent="0.35">
      <c r="A344" t="s">
        <v>750</v>
      </c>
      <c r="B344">
        <v>149</v>
      </c>
      <c r="C344">
        <v>25</v>
      </c>
      <c r="D344" t="s">
        <v>751</v>
      </c>
      <c r="E344">
        <v>1499</v>
      </c>
      <c r="F344" t="s">
        <v>68</v>
      </c>
      <c r="G344" t="s">
        <v>65</v>
      </c>
      <c r="H344">
        <v>78</v>
      </c>
      <c r="I344" t="str">
        <f>IFERROR(VLOOKUP(C344,Merchants!$A:$D,2,FALSE),"Merchant not found")</f>
        <v>Merchant_025</v>
      </c>
      <c r="J344" t="str">
        <f>IFERROR(VLOOKUP(C344,Merchants!$A:$D,3,FALSE),"Merchant not found")</f>
        <v>travel</v>
      </c>
      <c r="K344" t="str">
        <f>IFERROR(VLOOKUP(C344,Merchants!$A:$D,4,FALSE),"Merchant not found")</f>
        <v>South</v>
      </c>
    </row>
    <row r="345" spans="1:11" x14ac:dyDescent="0.35">
      <c r="A345" t="s">
        <v>752</v>
      </c>
      <c r="B345">
        <v>82</v>
      </c>
      <c r="C345">
        <v>21</v>
      </c>
      <c r="D345" t="s">
        <v>753</v>
      </c>
      <c r="E345">
        <v>49</v>
      </c>
      <c r="F345" t="s">
        <v>64</v>
      </c>
      <c r="G345" t="s">
        <v>65</v>
      </c>
      <c r="H345">
        <v>73</v>
      </c>
      <c r="I345" t="str">
        <f>IFERROR(VLOOKUP(C345,Merchants!$A:$D,2,FALSE),"Merchant not found")</f>
        <v>Merchant_021</v>
      </c>
      <c r="J345" t="str">
        <f>IFERROR(VLOOKUP(C345,Merchants!$A:$D,3,FALSE),"Merchant not found")</f>
        <v>food_delivery</v>
      </c>
      <c r="K345" t="str">
        <f>IFERROR(VLOOKUP(C345,Merchants!$A:$D,4,FALSE),"Merchant not found")</f>
        <v>East</v>
      </c>
    </row>
    <row r="346" spans="1:11" x14ac:dyDescent="0.35">
      <c r="A346" t="s">
        <v>754</v>
      </c>
      <c r="B346">
        <v>82</v>
      </c>
      <c r="C346">
        <v>32</v>
      </c>
      <c r="D346" t="s">
        <v>755</v>
      </c>
      <c r="E346">
        <v>49</v>
      </c>
      <c r="F346" t="s">
        <v>68</v>
      </c>
      <c r="G346" t="s">
        <v>65</v>
      </c>
      <c r="H346">
        <v>65</v>
      </c>
      <c r="I346" t="str">
        <f>IFERROR(VLOOKUP(C346,Merchants!$A:$D,2,FALSE),"Merchant not found")</f>
        <v>Merchant_032</v>
      </c>
      <c r="J346" t="str">
        <f>IFERROR(VLOOKUP(C346,Merchants!$A:$D,3,FALSE),"Merchant not found")</f>
        <v>food_delivery</v>
      </c>
      <c r="K346" t="str">
        <f>IFERROR(VLOOKUP(C346,Merchants!$A:$D,4,FALSE),"Merchant not found")</f>
        <v>West</v>
      </c>
    </row>
    <row r="347" spans="1:11" x14ac:dyDescent="0.35">
      <c r="A347" t="s">
        <v>756</v>
      </c>
      <c r="B347">
        <v>158</v>
      </c>
      <c r="C347">
        <v>32</v>
      </c>
      <c r="D347" t="s">
        <v>757</v>
      </c>
      <c r="E347">
        <v>99</v>
      </c>
      <c r="F347" t="s">
        <v>64</v>
      </c>
      <c r="G347" t="s">
        <v>65</v>
      </c>
      <c r="H347">
        <v>2</v>
      </c>
      <c r="I347" t="str">
        <f>IFERROR(VLOOKUP(C347,Merchants!$A:$D,2,FALSE),"Merchant not found")</f>
        <v>Merchant_032</v>
      </c>
      <c r="J347" t="str">
        <f>IFERROR(VLOOKUP(C347,Merchants!$A:$D,3,FALSE),"Merchant not found")</f>
        <v>food_delivery</v>
      </c>
      <c r="K347" t="str">
        <f>IFERROR(VLOOKUP(C347,Merchants!$A:$D,4,FALSE),"Merchant not found")</f>
        <v>West</v>
      </c>
    </row>
    <row r="348" spans="1:11" x14ac:dyDescent="0.35">
      <c r="A348" t="s">
        <v>758</v>
      </c>
      <c r="B348">
        <v>235</v>
      </c>
      <c r="C348">
        <v>16</v>
      </c>
      <c r="D348" t="s">
        <v>759</v>
      </c>
      <c r="E348">
        <v>99</v>
      </c>
      <c r="F348" t="s">
        <v>68</v>
      </c>
      <c r="G348" t="s">
        <v>65</v>
      </c>
      <c r="H348">
        <v>27</v>
      </c>
      <c r="I348" t="str">
        <f>IFERROR(VLOOKUP(C348,Merchants!$A:$D,2,FALSE),"Merchant not found")</f>
        <v>Merchant_016</v>
      </c>
      <c r="J348" t="str">
        <f>IFERROR(VLOOKUP(C348,Merchants!$A:$D,3,FALSE),"Merchant not found")</f>
        <v>bill_payment</v>
      </c>
      <c r="K348" t="str">
        <f>IFERROR(VLOOKUP(C348,Merchants!$A:$D,4,FALSE),"Merchant not found")</f>
        <v>West</v>
      </c>
    </row>
    <row r="349" spans="1:11" x14ac:dyDescent="0.35">
      <c r="A349" t="s">
        <v>760</v>
      </c>
      <c r="B349">
        <v>26</v>
      </c>
      <c r="C349">
        <v>19</v>
      </c>
      <c r="D349" t="s">
        <v>761</v>
      </c>
      <c r="E349">
        <v>99</v>
      </c>
      <c r="F349" t="s">
        <v>64</v>
      </c>
      <c r="G349" t="s">
        <v>65</v>
      </c>
      <c r="H349">
        <v>63</v>
      </c>
      <c r="I349" t="str">
        <f>IFERROR(VLOOKUP(C349,Merchants!$A:$D,2,FALSE),"Merchant not found")</f>
        <v>Merchant_019</v>
      </c>
      <c r="J349" t="str">
        <f>IFERROR(VLOOKUP(C349,Merchants!$A:$D,3,FALSE),"Merchant not found")</f>
        <v>grocery</v>
      </c>
      <c r="K349" t="str">
        <f>IFERROR(VLOOKUP(C349,Merchants!$A:$D,4,FALSE),"Merchant not found")</f>
        <v>North</v>
      </c>
    </row>
    <row r="350" spans="1:11" x14ac:dyDescent="0.35">
      <c r="A350" t="s">
        <v>762</v>
      </c>
      <c r="B350">
        <v>241</v>
      </c>
      <c r="C350">
        <v>19</v>
      </c>
      <c r="D350" t="s">
        <v>763</v>
      </c>
      <c r="E350">
        <v>299</v>
      </c>
      <c r="F350" t="s">
        <v>68</v>
      </c>
      <c r="G350" t="s">
        <v>65</v>
      </c>
      <c r="H350">
        <v>68</v>
      </c>
      <c r="I350" t="str">
        <f>IFERROR(VLOOKUP(C350,Merchants!$A:$D,2,FALSE),"Merchant not found")</f>
        <v>Merchant_019</v>
      </c>
      <c r="J350" t="str">
        <f>IFERROR(VLOOKUP(C350,Merchants!$A:$D,3,FALSE),"Merchant not found")</f>
        <v>grocery</v>
      </c>
      <c r="K350" t="str">
        <f>IFERROR(VLOOKUP(C350,Merchants!$A:$D,4,FALSE),"Merchant not found")</f>
        <v>North</v>
      </c>
    </row>
    <row r="351" spans="1:11" x14ac:dyDescent="0.35">
      <c r="A351" t="s">
        <v>764</v>
      </c>
      <c r="B351">
        <v>69</v>
      </c>
      <c r="C351">
        <v>17</v>
      </c>
      <c r="D351" t="s">
        <v>765</v>
      </c>
      <c r="E351">
        <v>1499</v>
      </c>
      <c r="F351" t="s">
        <v>68</v>
      </c>
      <c r="G351" t="s">
        <v>65</v>
      </c>
      <c r="H351">
        <v>93</v>
      </c>
      <c r="I351" t="str">
        <f>IFERROR(VLOOKUP(C351,Merchants!$A:$D,2,FALSE),"Merchant not found")</f>
        <v>Merchant_017</v>
      </c>
      <c r="J351" t="str">
        <f>IFERROR(VLOOKUP(C351,Merchants!$A:$D,3,FALSE),"Merchant not found")</f>
        <v>grocery</v>
      </c>
      <c r="K351" t="str">
        <f>IFERROR(VLOOKUP(C351,Merchants!$A:$D,4,FALSE),"Merchant not found")</f>
        <v>North</v>
      </c>
    </row>
    <row r="352" spans="1:11" x14ac:dyDescent="0.35">
      <c r="A352" t="s">
        <v>766</v>
      </c>
      <c r="B352">
        <v>24</v>
      </c>
      <c r="C352">
        <v>26</v>
      </c>
      <c r="D352" t="s">
        <v>767</v>
      </c>
      <c r="E352">
        <v>299</v>
      </c>
      <c r="F352" t="s">
        <v>73</v>
      </c>
      <c r="G352" t="s">
        <v>65</v>
      </c>
      <c r="H352">
        <v>6</v>
      </c>
      <c r="I352" t="str">
        <f>IFERROR(VLOOKUP(C352,Merchants!$A:$D,2,FALSE),"Merchant not found")</f>
        <v>Merchant_026</v>
      </c>
      <c r="J352" t="str">
        <f>IFERROR(VLOOKUP(C352,Merchants!$A:$D,3,FALSE),"Merchant not found")</f>
        <v>food_delivery</v>
      </c>
      <c r="K352" t="str">
        <f>IFERROR(VLOOKUP(C352,Merchants!$A:$D,4,FALSE),"Merchant not found")</f>
        <v>East</v>
      </c>
    </row>
    <row r="353" spans="1:11" x14ac:dyDescent="0.35">
      <c r="A353" t="s">
        <v>768</v>
      </c>
      <c r="B353">
        <v>186</v>
      </c>
      <c r="C353">
        <v>36</v>
      </c>
      <c r="D353" t="s">
        <v>769</v>
      </c>
      <c r="E353">
        <v>4999</v>
      </c>
      <c r="F353" t="s">
        <v>68</v>
      </c>
      <c r="G353" t="s">
        <v>65</v>
      </c>
      <c r="H353">
        <v>36</v>
      </c>
      <c r="I353" t="str">
        <f>IFERROR(VLOOKUP(C353,Merchants!$A:$D,2,FALSE),"Merchant not found")</f>
        <v>Merchant_036</v>
      </c>
      <c r="J353" t="str">
        <f>IFERROR(VLOOKUP(C353,Merchants!$A:$D,3,FALSE),"Merchant not found")</f>
        <v>entertainment</v>
      </c>
      <c r="K353" t="str">
        <f>IFERROR(VLOOKUP(C353,Merchants!$A:$D,4,FALSE),"Merchant not found")</f>
        <v>East</v>
      </c>
    </row>
    <row r="354" spans="1:11" x14ac:dyDescent="0.35">
      <c r="A354" t="s">
        <v>770</v>
      </c>
      <c r="B354">
        <v>231</v>
      </c>
      <c r="C354">
        <v>36</v>
      </c>
      <c r="D354" t="s">
        <v>759</v>
      </c>
      <c r="E354">
        <v>149</v>
      </c>
      <c r="F354" t="s">
        <v>68</v>
      </c>
      <c r="G354" t="s">
        <v>65</v>
      </c>
      <c r="H354">
        <v>35</v>
      </c>
      <c r="I354" t="str">
        <f>IFERROR(VLOOKUP(C354,Merchants!$A:$D,2,FALSE),"Merchant not found")</f>
        <v>Merchant_036</v>
      </c>
      <c r="J354" t="str">
        <f>IFERROR(VLOOKUP(C354,Merchants!$A:$D,3,FALSE),"Merchant not found")</f>
        <v>entertainment</v>
      </c>
      <c r="K354" t="str">
        <f>IFERROR(VLOOKUP(C354,Merchants!$A:$D,4,FALSE),"Merchant not found")</f>
        <v>East</v>
      </c>
    </row>
    <row r="355" spans="1:11" x14ac:dyDescent="0.35">
      <c r="A355" t="s">
        <v>771</v>
      </c>
      <c r="B355">
        <v>313</v>
      </c>
      <c r="C355">
        <v>8</v>
      </c>
      <c r="D355" t="s">
        <v>772</v>
      </c>
      <c r="E355">
        <v>1499</v>
      </c>
      <c r="F355" t="s">
        <v>73</v>
      </c>
      <c r="G355" t="s">
        <v>65</v>
      </c>
      <c r="H355">
        <v>16</v>
      </c>
      <c r="I355" t="str">
        <f>IFERROR(VLOOKUP(C355,Merchants!$A:$D,2,FALSE),"Merchant not found")</f>
        <v>Merchant_008</v>
      </c>
      <c r="J355" t="str">
        <f>IFERROR(VLOOKUP(C355,Merchants!$A:$D,3,FALSE),"Merchant not found")</f>
        <v>food_delivery</v>
      </c>
      <c r="K355" t="str">
        <f>IFERROR(VLOOKUP(C355,Merchants!$A:$D,4,FALSE),"Merchant not found")</f>
        <v>North</v>
      </c>
    </row>
    <row r="356" spans="1:11" x14ac:dyDescent="0.35">
      <c r="A356" t="s">
        <v>773</v>
      </c>
      <c r="B356">
        <v>174</v>
      </c>
      <c r="C356">
        <v>36</v>
      </c>
      <c r="D356" t="s">
        <v>774</v>
      </c>
      <c r="E356">
        <v>149</v>
      </c>
      <c r="F356" t="s">
        <v>68</v>
      </c>
      <c r="G356" t="s">
        <v>65</v>
      </c>
      <c r="H356">
        <v>46</v>
      </c>
      <c r="I356" t="str">
        <f>IFERROR(VLOOKUP(C356,Merchants!$A:$D,2,FALSE),"Merchant not found")</f>
        <v>Merchant_036</v>
      </c>
      <c r="J356" t="str">
        <f>IFERROR(VLOOKUP(C356,Merchants!$A:$D,3,FALSE),"Merchant not found")</f>
        <v>entertainment</v>
      </c>
      <c r="K356" t="str">
        <f>IFERROR(VLOOKUP(C356,Merchants!$A:$D,4,FALSE),"Merchant not found")</f>
        <v>East</v>
      </c>
    </row>
    <row r="357" spans="1:11" x14ac:dyDescent="0.35">
      <c r="A357" t="s">
        <v>775</v>
      </c>
      <c r="B357">
        <v>309</v>
      </c>
      <c r="C357">
        <v>33</v>
      </c>
      <c r="D357" t="s">
        <v>776</v>
      </c>
      <c r="E357">
        <v>99</v>
      </c>
      <c r="F357" t="s">
        <v>68</v>
      </c>
      <c r="G357" t="s">
        <v>65</v>
      </c>
      <c r="H357">
        <v>51</v>
      </c>
      <c r="I357" t="str">
        <f>IFERROR(VLOOKUP(C357,Merchants!$A:$D,2,FALSE),"Merchant not found")</f>
        <v>Merchant_033</v>
      </c>
      <c r="J357" t="str">
        <f>IFERROR(VLOOKUP(C357,Merchants!$A:$D,3,FALSE),"Merchant not found")</f>
        <v>bill_payment</v>
      </c>
      <c r="K357" t="str">
        <f>IFERROR(VLOOKUP(C357,Merchants!$A:$D,4,FALSE),"Merchant not found")</f>
        <v>East</v>
      </c>
    </row>
    <row r="358" spans="1:11" x14ac:dyDescent="0.35">
      <c r="A358" t="s">
        <v>777</v>
      </c>
      <c r="B358">
        <v>20</v>
      </c>
      <c r="C358">
        <v>9</v>
      </c>
      <c r="D358" t="s">
        <v>778</v>
      </c>
      <c r="E358">
        <v>99</v>
      </c>
      <c r="F358" t="s">
        <v>68</v>
      </c>
      <c r="G358" t="s">
        <v>65</v>
      </c>
      <c r="H358">
        <v>91</v>
      </c>
      <c r="I358" t="str">
        <f>IFERROR(VLOOKUP(C358,Merchants!$A:$D,2,FALSE),"Merchant not found")</f>
        <v>Merchant_009</v>
      </c>
      <c r="J358" t="str">
        <f>IFERROR(VLOOKUP(C358,Merchants!$A:$D,3,FALSE),"Merchant not found")</f>
        <v>ecommerce</v>
      </c>
      <c r="K358" t="str">
        <f>IFERROR(VLOOKUP(C358,Merchants!$A:$D,4,FALSE),"Merchant not found")</f>
        <v>North</v>
      </c>
    </row>
    <row r="359" spans="1:11" x14ac:dyDescent="0.35">
      <c r="A359" t="s">
        <v>779</v>
      </c>
      <c r="B359">
        <v>234</v>
      </c>
      <c r="C359">
        <v>10</v>
      </c>
      <c r="D359" t="s">
        <v>780</v>
      </c>
      <c r="E359">
        <v>49</v>
      </c>
      <c r="F359" t="s">
        <v>68</v>
      </c>
      <c r="G359" t="s">
        <v>65</v>
      </c>
      <c r="H359">
        <v>77</v>
      </c>
      <c r="I359" t="str">
        <f>IFERROR(VLOOKUP(C359,Merchants!$A:$D,2,FALSE),"Merchant not found")</f>
        <v>Merchant_010</v>
      </c>
      <c r="J359" t="str">
        <f>IFERROR(VLOOKUP(C359,Merchants!$A:$D,3,FALSE),"Merchant not found")</f>
        <v>grocery</v>
      </c>
      <c r="K359" t="str">
        <f>IFERROR(VLOOKUP(C359,Merchants!$A:$D,4,FALSE),"Merchant not found")</f>
        <v>West</v>
      </c>
    </row>
    <row r="360" spans="1:11" x14ac:dyDescent="0.35">
      <c r="A360" t="s">
        <v>781</v>
      </c>
      <c r="B360">
        <v>168</v>
      </c>
      <c r="C360">
        <v>40</v>
      </c>
      <c r="D360" t="s">
        <v>782</v>
      </c>
      <c r="E360">
        <v>149</v>
      </c>
      <c r="F360" t="s">
        <v>68</v>
      </c>
      <c r="G360" t="s">
        <v>116</v>
      </c>
      <c r="H360">
        <v>40</v>
      </c>
      <c r="I360" t="str">
        <f>IFERROR(VLOOKUP(C360,Merchants!$A:$D,2,FALSE),"Merchant not found")</f>
        <v>Merchant_040</v>
      </c>
      <c r="J360" t="str">
        <f>IFERROR(VLOOKUP(C360,Merchants!$A:$D,3,FALSE),"Merchant not found")</f>
        <v>entertainment</v>
      </c>
      <c r="K360" t="str">
        <f>IFERROR(VLOOKUP(C360,Merchants!$A:$D,4,FALSE),"Merchant not found")</f>
        <v>South</v>
      </c>
    </row>
    <row r="361" spans="1:11" x14ac:dyDescent="0.35">
      <c r="A361" t="s">
        <v>783</v>
      </c>
      <c r="B361">
        <v>154</v>
      </c>
      <c r="C361">
        <v>38</v>
      </c>
      <c r="D361" t="s">
        <v>784</v>
      </c>
      <c r="E361">
        <v>99</v>
      </c>
      <c r="F361" t="s">
        <v>73</v>
      </c>
      <c r="G361" t="s">
        <v>65</v>
      </c>
      <c r="H361">
        <v>43</v>
      </c>
      <c r="I361" t="str">
        <f>IFERROR(VLOOKUP(C361,Merchants!$A:$D,2,FALSE),"Merchant not found")</f>
        <v>Merchant_038</v>
      </c>
      <c r="J361" t="str">
        <f>IFERROR(VLOOKUP(C361,Merchants!$A:$D,3,FALSE),"Merchant not found")</f>
        <v>grocery</v>
      </c>
      <c r="K361" t="str">
        <f>IFERROR(VLOOKUP(C361,Merchants!$A:$D,4,FALSE),"Merchant not found")</f>
        <v>East</v>
      </c>
    </row>
    <row r="362" spans="1:11" x14ac:dyDescent="0.35">
      <c r="A362" t="s">
        <v>785</v>
      </c>
      <c r="B362">
        <v>251</v>
      </c>
      <c r="C362">
        <v>37</v>
      </c>
      <c r="D362" t="s">
        <v>786</v>
      </c>
      <c r="E362">
        <v>49</v>
      </c>
      <c r="F362" t="s">
        <v>68</v>
      </c>
      <c r="G362" t="s">
        <v>65</v>
      </c>
      <c r="H362">
        <v>38</v>
      </c>
      <c r="I362" t="str">
        <f>IFERROR(VLOOKUP(C362,Merchants!$A:$D,2,FALSE),"Merchant not found")</f>
        <v>Merchant_037</v>
      </c>
      <c r="J362" t="str">
        <f>IFERROR(VLOOKUP(C362,Merchants!$A:$D,3,FALSE),"Merchant not found")</f>
        <v>entertainment</v>
      </c>
      <c r="K362" t="str">
        <f>IFERROR(VLOOKUP(C362,Merchants!$A:$D,4,FALSE),"Merchant not found")</f>
        <v>South</v>
      </c>
    </row>
    <row r="363" spans="1:11" x14ac:dyDescent="0.35">
      <c r="A363" t="s">
        <v>787</v>
      </c>
      <c r="B363">
        <v>170</v>
      </c>
      <c r="C363">
        <v>8</v>
      </c>
      <c r="D363" t="s">
        <v>788</v>
      </c>
      <c r="E363">
        <v>2999</v>
      </c>
      <c r="F363" t="s">
        <v>68</v>
      </c>
      <c r="G363" t="s">
        <v>65</v>
      </c>
      <c r="H363">
        <v>53</v>
      </c>
      <c r="I363" t="str">
        <f>IFERROR(VLOOKUP(C363,Merchants!$A:$D,2,FALSE),"Merchant not found")</f>
        <v>Merchant_008</v>
      </c>
      <c r="J363" t="str">
        <f>IFERROR(VLOOKUP(C363,Merchants!$A:$D,3,FALSE),"Merchant not found")</f>
        <v>food_delivery</v>
      </c>
      <c r="K363" t="str">
        <f>IFERROR(VLOOKUP(C363,Merchants!$A:$D,4,FALSE),"Merchant not found")</f>
        <v>North</v>
      </c>
    </row>
    <row r="364" spans="1:11" x14ac:dyDescent="0.35">
      <c r="A364" t="s">
        <v>789</v>
      </c>
      <c r="B364">
        <v>323</v>
      </c>
      <c r="C364">
        <v>2</v>
      </c>
      <c r="D364" t="s">
        <v>790</v>
      </c>
      <c r="E364">
        <v>49</v>
      </c>
      <c r="F364" t="s">
        <v>73</v>
      </c>
      <c r="G364" t="s">
        <v>65</v>
      </c>
      <c r="H364">
        <v>76</v>
      </c>
      <c r="I364" t="str">
        <f>IFERROR(VLOOKUP(C364,Merchants!$A:$D,2,FALSE),"Merchant not found")</f>
        <v>Merchant_002</v>
      </c>
      <c r="J364" t="str">
        <f>IFERROR(VLOOKUP(C364,Merchants!$A:$D,3,FALSE),"Merchant not found")</f>
        <v>grocery</v>
      </c>
      <c r="K364" t="str">
        <f>IFERROR(VLOOKUP(C364,Merchants!$A:$D,4,FALSE),"Merchant not found")</f>
        <v>West</v>
      </c>
    </row>
    <row r="365" spans="1:11" x14ac:dyDescent="0.35">
      <c r="A365" t="s">
        <v>791</v>
      </c>
      <c r="B365">
        <v>297</v>
      </c>
      <c r="C365">
        <v>37</v>
      </c>
      <c r="D365" t="s">
        <v>792</v>
      </c>
      <c r="E365">
        <v>2999</v>
      </c>
      <c r="F365" t="s">
        <v>64</v>
      </c>
      <c r="G365" t="s">
        <v>65</v>
      </c>
      <c r="H365">
        <v>29</v>
      </c>
      <c r="I365" t="str">
        <f>IFERROR(VLOOKUP(C365,Merchants!$A:$D,2,FALSE),"Merchant not found")</f>
        <v>Merchant_037</v>
      </c>
      <c r="J365" t="str">
        <f>IFERROR(VLOOKUP(C365,Merchants!$A:$D,3,FALSE),"Merchant not found")</f>
        <v>entertainment</v>
      </c>
      <c r="K365" t="str">
        <f>IFERROR(VLOOKUP(C365,Merchants!$A:$D,4,FALSE),"Merchant not found")</f>
        <v>South</v>
      </c>
    </row>
    <row r="366" spans="1:11" x14ac:dyDescent="0.35">
      <c r="A366" t="s">
        <v>793</v>
      </c>
      <c r="B366">
        <v>246</v>
      </c>
      <c r="C366">
        <v>11</v>
      </c>
      <c r="D366" t="s">
        <v>794</v>
      </c>
      <c r="E366">
        <v>299</v>
      </c>
      <c r="F366" t="s">
        <v>68</v>
      </c>
      <c r="G366" t="s">
        <v>65</v>
      </c>
      <c r="H366">
        <v>67</v>
      </c>
      <c r="I366" t="str">
        <f>IFERROR(VLOOKUP(C366,Merchants!$A:$D,2,FALSE),"Merchant not found")</f>
        <v>Merchant_011</v>
      </c>
      <c r="J366" t="str">
        <f>IFERROR(VLOOKUP(C366,Merchants!$A:$D,3,FALSE),"Merchant not found")</f>
        <v>ecommerce</v>
      </c>
      <c r="K366" t="str">
        <f>IFERROR(VLOOKUP(C366,Merchants!$A:$D,4,FALSE),"Merchant not found")</f>
        <v>North</v>
      </c>
    </row>
    <row r="367" spans="1:11" x14ac:dyDescent="0.35">
      <c r="A367" t="s">
        <v>795</v>
      </c>
      <c r="B367">
        <v>195</v>
      </c>
      <c r="C367">
        <v>10</v>
      </c>
      <c r="D367" t="s">
        <v>796</v>
      </c>
      <c r="E367">
        <v>99</v>
      </c>
      <c r="F367" t="s">
        <v>68</v>
      </c>
      <c r="G367" t="s">
        <v>65</v>
      </c>
      <c r="H367">
        <v>87</v>
      </c>
      <c r="I367" t="str">
        <f>IFERROR(VLOOKUP(C367,Merchants!$A:$D,2,FALSE),"Merchant not found")</f>
        <v>Merchant_010</v>
      </c>
      <c r="J367" t="str">
        <f>IFERROR(VLOOKUP(C367,Merchants!$A:$D,3,FALSE),"Merchant not found")</f>
        <v>grocery</v>
      </c>
      <c r="K367" t="str">
        <f>IFERROR(VLOOKUP(C367,Merchants!$A:$D,4,FALSE),"Merchant not found")</f>
        <v>West</v>
      </c>
    </row>
    <row r="368" spans="1:11" x14ac:dyDescent="0.35">
      <c r="A368" t="s">
        <v>797</v>
      </c>
      <c r="B368">
        <v>57</v>
      </c>
      <c r="C368">
        <v>13</v>
      </c>
      <c r="D368" t="s">
        <v>798</v>
      </c>
      <c r="E368">
        <v>149</v>
      </c>
      <c r="F368" t="s">
        <v>68</v>
      </c>
      <c r="G368" t="s">
        <v>65</v>
      </c>
      <c r="H368">
        <v>2</v>
      </c>
      <c r="I368" t="str">
        <f>IFERROR(VLOOKUP(C368,Merchants!$A:$D,2,FALSE),"Merchant not found")</f>
        <v>Merchant_013</v>
      </c>
      <c r="J368" t="str">
        <f>IFERROR(VLOOKUP(C368,Merchants!$A:$D,3,FALSE),"Merchant not found")</f>
        <v>travel</v>
      </c>
      <c r="K368" t="str">
        <f>IFERROR(VLOOKUP(C368,Merchants!$A:$D,4,FALSE),"Merchant not found")</f>
        <v>East</v>
      </c>
    </row>
    <row r="369" spans="1:11" x14ac:dyDescent="0.35">
      <c r="A369" t="s">
        <v>799</v>
      </c>
      <c r="B369">
        <v>78</v>
      </c>
      <c r="C369">
        <v>27</v>
      </c>
      <c r="D369" t="s">
        <v>800</v>
      </c>
      <c r="E369">
        <v>1499</v>
      </c>
      <c r="F369" t="s">
        <v>73</v>
      </c>
      <c r="G369" t="s">
        <v>91</v>
      </c>
      <c r="H369">
        <v>88</v>
      </c>
      <c r="I369" t="str">
        <f>IFERROR(VLOOKUP(C369,Merchants!$A:$D,2,FALSE),"Merchant not found")</f>
        <v>Merchant_027</v>
      </c>
      <c r="J369" t="str">
        <f>IFERROR(VLOOKUP(C369,Merchants!$A:$D,3,FALSE),"Merchant not found")</f>
        <v>ecommerce</v>
      </c>
      <c r="K369" t="str">
        <f>IFERROR(VLOOKUP(C369,Merchants!$A:$D,4,FALSE),"Merchant not found")</f>
        <v>North</v>
      </c>
    </row>
    <row r="370" spans="1:11" x14ac:dyDescent="0.35">
      <c r="A370" t="s">
        <v>801</v>
      </c>
      <c r="B370">
        <v>314</v>
      </c>
      <c r="C370">
        <v>31</v>
      </c>
      <c r="D370" t="s">
        <v>802</v>
      </c>
      <c r="E370">
        <v>49</v>
      </c>
      <c r="F370" t="s">
        <v>68</v>
      </c>
      <c r="G370" t="s">
        <v>116</v>
      </c>
      <c r="H370">
        <v>94</v>
      </c>
      <c r="I370" t="str">
        <f>IFERROR(VLOOKUP(C370,Merchants!$A:$D,2,FALSE),"Merchant not found")</f>
        <v>Merchant_031</v>
      </c>
      <c r="J370" t="str">
        <f>IFERROR(VLOOKUP(C370,Merchants!$A:$D,3,FALSE),"Merchant not found")</f>
        <v>bill_payment</v>
      </c>
      <c r="K370" t="str">
        <f>IFERROR(VLOOKUP(C370,Merchants!$A:$D,4,FALSE),"Merchant not found")</f>
        <v>East</v>
      </c>
    </row>
    <row r="371" spans="1:11" x14ac:dyDescent="0.35">
      <c r="A371" t="s">
        <v>803</v>
      </c>
      <c r="B371">
        <v>71</v>
      </c>
      <c r="C371">
        <v>34</v>
      </c>
      <c r="D371" t="s">
        <v>804</v>
      </c>
      <c r="E371">
        <v>499</v>
      </c>
      <c r="F371" t="s">
        <v>68</v>
      </c>
      <c r="G371" t="s">
        <v>65</v>
      </c>
      <c r="H371">
        <v>26</v>
      </c>
      <c r="I371" t="str">
        <f>IFERROR(VLOOKUP(C371,Merchants!$A:$D,2,FALSE),"Merchant not found")</f>
        <v>Merchant_034</v>
      </c>
      <c r="J371" t="str">
        <f>IFERROR(VLOOKUP(C371,Merchants!$A:$D,3,FALSE),"Merchant not found")</f>
        <v>travel</v>
      </c>
      <c r="K371" t="str">
        <f>IFERROR(VLOOKUP(C371,Merchants!$A:$D,4,FALSE),"Merchant not found")</f>
        <v>South</v>
      </c>
    </row>
    <row r="372" spans="1:11" x14ac:dyDescent="0.35">
      <c r="A372" t="s">
        <v>805</v>
      </c>
      <c r="B372">
        <v>245</v>
      </c>
      <c r="C372">
        <v>34</v>
      </c>
      <c r="D372" t="s">
        <v>806</v>
      </c>
      <c r="E372">
        <v>99</v>
      </c>
      <c r="F372" t="s">
        <v>68</v>
      </c>
      <c r="G372" t="s">
        <v>65</v>
      </c>
      <c r="H372">
        <v>48</v>
      </c>
      <c r="I372" t="str">
        <f>IFERROR(VLOOKUP(C372,Merchants!$A:$D,2,FALSE),"Merchant not found")</f>
        <v>Merchant_034</v>
      </c>
      <c r="J372" t="str">
        <f>IFERROR(VLOOKUP(C372,Merchants!$A:$D,3,FALSE),"Merchant not found")</f>
        <v>travel</v>
      </c>
      <c r="K372" t="str">
        <f>IFERROR(VLOOKUP(C372,Merchants!$A:$D,4,FALSE),"Merchant not found")</f>
        <v>South</v>
      </c>
    </row>
    <row r="373" spans="1:11" x14ac:dyDescent="0.35">
      <c r="A373" t="s">
        <v>807</v>
      </c>
      <c r="B373">
        <v>273</v>
      </c>
      <c r="C373">
        <v>22</v>
      </c>
      <c r="D373" t="s">
        <v>808</v>
      </c>
      <c r="E373">
        <v>299</v>
      </c>
      <c r="F373" t="s">
        <v>64</v>
      </c>
      <c r="G373" t="s">
        <v>65</v>
      </c>
      <c r="H373">
        <v>69</v>
      </c>
      <c r="I373" t="str">
        <f>IFERROR(VLOOKUP(C373,Merchants!$A:$D,2,FALSE),"Merchant not found")</f>
        <v>Merchant_022</v>
      </c>
      <c r="J373" t="str">
        <f>IFERROR(VLOOKUP(C373,Merchants!$A:$D,3,FALSE),"Merchant not found")</f>
        <v>travel</v>
      </c>
      <c r="K373" t="str">
        <f>IFERROR(VLOOKUP(C373,Merchants!$A:$D,4,FALSE),"Merchant not found")</f>
        <v>South</v>
      </c>
    </row>
    <row r="374" spans="1:11" x14ac:dyDescent="0.35">
      <c r="A374" t="s">
        <v>809</v>
      </c>
      <c r="B374">
        <v>349</v>
      </c>
      <c r="C374">
        <v>17</v>
      </c>
      <c r="D374" t="s">
        <v>810</v>
      </c>
      <c r="E374">
        <v>1499</v>
      </c>
      <c r="F374" t="s">
        <v>68</v>
      </c>
      <c r="G374" t="s">
        <v>65</v>
      </c>
      <c r="H374">
        <v>78</v>
      </c>
      <c r="I374" t="str">
        <f>IFERROR(VLOOKUP(C374,Merchants!$A:$D,2,FALSE),"Merchant not found")</f>
        <v>Merchant_017</v>
      </c>
      <c r="J374" t="str">
        <f>IFERROR(VLOOKUP(C374,Merchants!$A:$D,3,FALSE),"Merchant not found")</f>
        <v>grocery</v>
      </c>
      <c r="K374" t="str">
        <f>IFERROR(VLOOKUP(C374,Merchants!$A:$D,4,FALSE),"Merchant not found")</f>
        <v>North</v>
      </c>
    </row>
    <row r="375" spans="1:11" x14ac:dyDescent="0.35">
      <c r="A375" t="s">
        <v>811</v>
      </c>
      <c r="B375">
        <v>143</v>
      </c>
      <c r="C375">
        <v>36</v>
      </c>
      <c r="D375" t="s">
        <v>812</v>
      </c>
      <c r="E375">
        <v>1499</v>
      </c>
      <c r="F375" t="s">
        <v>73</v>
      </c>
      <c r="G375" t="s">
        <v>65</v>
      </c>
      <c r="H375">
        <v>38</v>
      </c>
      <c r="I375" t="str">
        <f>IFERROR(VLOOKUP(C375,Merchants!$A:$D,2,FALSE),"Merchant not found")</f>
        <v>Merchant_036</v>
      </c>
      <c r="J375" t="str">
        <f>IFERROR(VLOOKUP(C375,Merchants!$A:$D,3,FALSE),"Merchant not found")</f>
        <v>entertainment</v>
      </c>
      <c r="K375" t="str">
        <f>IFERROR(VLOOKUP(C375,Merchants!$A:$D,4,FALSE),"Merchant not found")</f>
        <v>East</v>
      </c>
    </row>
    <row r="376" spans="1:11" x14ac:dyDescent="0.35">
      <c r="A376" t="s">
        <v>813</v>
      </c>
      <c r="B376">
        <v>148</v>
      </c>
      <c r="C376">
        <v>14</v>
      </c>
      <c r="D376" t="s">
        <v>814</v>
      </c>
      <c r="E376">
        <v>799</v>
      </c>
      <c r="F376" t="s">
        <v>64</v>
      </c>
      <c r="G376" t="s">
        <v>65</v>
      </c>
      <c r="H376">
        <v>88</v>
      </c>
      <c r="I376" t="str">
        <f>IFERROR(VLOOKUP(C376,Merchants!$A:$D,2,FALSE),"Merchant not found")</f>
        <v>Merchant_014</v>
      </c>
      <c r="J376" t="str">
        <f>IFERROR(VLOOKUP(C376,Merchants!$A:$D,3,FALSE),"Merchant not found")</f>
        <v>grocery</v>
      </c>
      <c r="K376" t="str">
        <f>IFERROR(VLOOKUP(C376,Merchants!$A:$D,4,FALSE),"Merchant not found")</f>
        <v>East</v>
      </c>
    </row>
    <row r="377" spans="1:11" x14ac:dyDescent="0.35">
      <c r="A377" t="s">
        <v>815</v>
      </c>
      <c r="B377">
        <v>246</v>
      </c>
      <c r="C377">
        <v>23</v>
      </c>
      <c r="D377" t="s">
        <v>816</v>
      </c>
      <c r="E377">
        <v>49</v>
      </c>
      <c r="F377" t="s">
        <v>68</v>
      </c>
      <c r="G377" t="s">
        <v>65</v>
      </c>
      <c r="H377">
        <v>71</v>
      </c>
      <c r="I377" t="str">
        <f>IFERROR(VLOOKUP(C377,Merchants!$A:$D,2,FALSE),"Merchant not found")</f>
        <v>Merchant_023</v>
      </c>
      <c r="J377" t="str">
        <f>IFERROR(VLOOKUP(C377,Merchants!$A:$D,3,FALSE),"Merchant not found")</f>
        <v>travel</v>
      </c>
      <c r="K377" t="str">
        <f>IFERROR(VLOOKUP(C377,Merchants!$A:$D,4,FALSE),"Merchant not found")</f>
        <v>North</v>
      </c>
    </row>
    <row r="378" spans="1:11" x14ac:dyDescent="0.35">
      <c r="A378" t="s">
        <v>817</v>
      </c>
      <c r="B378">
        <v>148</v>
      </c>
      <c r="C378">
        <v>8</v>
      </c>
      <c r="D378" t="s">
        <v>818</v>
      </c>
      <c r="E378">
        <v>99</v>
      </c>
      <c r="F378" t="s">
        <v>64</v>
      </c>
      <c r="G378" t="s">
        <v>65</v>
      </c>
      <c r="H378">
        <v>73</v>
      </c>
      <c r="I378" t="str">
        <f>IFERROR(VLOOKUP(C378,Merchants!$A:$D,2,FALSE),"Merchant not found")</f>
        <v>Merchant_008</v>
      </c>
      <c r="J378" t="str">
        <f>IFERROR(VLOOKUP(C378,Merchants!$A:$D,3,FALSE),"Merchant not found")</f>
        <v>food_delivery</v>
      </c>
      <c r="K378" t="str">
        <f>IFERROR(VLOOKUP(C378,Merchants!$A:$D,4,FALSE),"Merchant not found")</f>
        <v>North</v>
      </c>
    </row>
    <row r="379" spans="1:11" x14ac:dyDescent="0.35">
      <c r="A379" t="s">
        <v>819</v>
      </c>
      <c r="B379">
        <v>203</v>
      </c>
      <c r="C379">
        <v>23</v>
      </c>
      <c r="D379" t="s">
        <v>820</v>
      </c>
      <c r="E379">
        <v>49</v>
      </c>
      <c r="F379" t="s">
        <v>68</v>
      </c>
      <c r="G379" t="s">
        <v>65</v>
      </c>
      <c r="H379">
        <v>98</v>
      </c>
      <c r="I379" t="str">
        <f>IFERROR(VLOOKUP(C379,Merchants!$A:$D,2,FALSE),"Merchant not found")</f>
        <v>Merchant_023</v>
      </c>
      <c r="J379" t="str">
        <f>IFERROR(VLOOKUP(C379,Merchants!$A:$D,3,FALSE),"Merchant not found")</f>
        <v>travel</v>
      </c>
      <c r="K379" t="str">
        <f>IFERROR(VLOOKUP(C379,Merchants!$A:$D,4,FALSE),"Merchant not found")</f>
        <v>North</v>
      </c>
    </row>
    <row r="380" spans="1:11" x14ac:dyDescent="0.35">
      <c r="A380" t="s">
        <v>821</v>
      </c>
      <c r="B380">
        <v>22</v>
      </c>
      <c r="C380">
        <v>19</v>
      </c>
      <c r="D380" t="s">
        <v>822</v>
      </c>
      <c r="E380">
        <v>49</v>
      </c>
      <c r="F380" t="s">
        <v>90</v>
      </c>
      <c r="G380" t="s">
        <v>65</v>
      </c>
      <c r="H380">
        <v>91</v>
      </c>
      <c r="I380" t="str">
        <f>IFERROR(VLOOKUP(C380,Merchants!$A:$D,2,FALSE),"Merchant not found")</f>
        <v>Merchant_019</v>
      </c>
      <c r="J380" t="str">
        <f>IFERROR(VLOOKUP(C380,Merchants!$A:$D,3,FALSE),"Merchant not found")</f>
        <v>grocery</v>
      </c>
      <c r="K380" t="str">
        <f>IFERROR(VLOOKUP(C380,Merchants!$A:$D,4,FALSE),"Merchant not found")</f>
        <v>North</v>
      </c>
    </row>
    <row r="381" spans="1:11" x14ac:dyDescent="0.35">
      <c r="A381" t="s">
        <v>823</v>
      </c>
      <c r="B381">
        <v>227</v>
      </c>
      <c r="C381">
        <v>17</v>
      </c>
      <c r="D381" t="s">
        <v>824</v>
      </c>
      <c r="E381">
        <v>299</v>
      </c>
      <c r="F381" t="s">
        <v>64</v>
      </c>
      <c r="G381" t="s">
        <v>65</v>
      </c>
      <c r="H381">
        <v>95</v>
      </c>
      <c r="I381" t="str">
        <f>IFERROR(VLOOKUP(C381,Merchants!$A:$D,2,FALSE),"Merchant not found")</f>
        <v>Merchant_017</v>
      </c>
      <c r="J381" t="str">
        <f>IFERROR(VLOOKUP(C381,Merchants!$A:$D,3,FALSE),"Merchant not found")</f>
        <v>grocery</v>
      </c>
      <c r="K381" t="str">
        <f>IFERROR(VLOOKUP(C381,Merchants!$A:$D,4,FALSE),"Merchant not found")</f>
        <v>North</v>
      </c>
    </row>
    <row r="382" spans="1:11" x14ac:dyDescent="0.35">
      <c r="A382" t="s">
        <v>825</v>
      </c>
      <c r="B382">
        <v>276</v>
      </c>
      <c r="C382">
        <v>18</v>
      </c>
      <c r="D382" t="s">
        <v>826</v>
      </c>
      <c r="E382">
        <v>149</v>
      </c>
      <c r="F382" t="s">
        <v>64</v>
      </c>
      <c r="G382" t="s">
        <v>65</v>
      </c>
      <c r="H382">
        <v>71</v>
      </c>
      <c r="I382" t="str">
        <f>IFERROR(VLOOKUP(C382,Merchants!$A:$D,2,FALSE),"Merchant not found")</f>
        <v>Merchant_018</v>
      </c>
      <c r="J382" t="str">
        <f>IFERROR(VLOOKUP(C382,Merchants!$A:$D,3,FALSE),"Merchant not found")</f>
        <v>grocery</v>
      </c>
      <c r="K382" t="str">
        <f>IFERROR(VLOOKUP(C382,Merchants!$A:$D,4,FALSE),"Merchant not found")</f>
        <v>West</v>
      </c>
    </row>
    <row r="383" spans="1:11" x14ac:dyDescent="0.35">
      <c r="A383" t="s">
        <v>827</v>
      </c>
      <c r="B383">
        <v>56</v>
      </c>
      <c r="C383">
        <v>40</v>
      </c>
      <c r="D383" t="s">
        <v>828</v>
      </c>
      <c r="E383">
        <v>99</v>
      </c>
      <c r="F383" t="s">
        <v>90</v>
      </c>
      <c r="G383" t="s">
        <v>65</v>
      </c>
      <c r="H383">
        <v>94</v>
      </c>
      <c r="I383" t="str">
        <f>IFERROR(VLOOKUP(C383,Merchants!$A:$D,2,FALSE),"Merchant not found")</f>
        <v>Merchant_040</v>
      </c>
      <c r="J383" t="str">
        <f>IFERROR(VLOOKUP(C383,Merchants!$A:$D,3,FALSE),"Merchant not found")</f>
        <v>entertainment</v>
      </c>
      <c r="K383" t="str">
        <f>IFERROR(VLOOKUP(C383,Merchants!$A:$D,4,FALSE),"Merchant not found")</f>
        <v>South</v>
      </c>
    </row>
    <row r="384" spans="1:11" x14ac:dyDescent="0.35">
      <c r="A384" t="s">
        <v>829</v>
      </c>
      <c r="B384">
        <v>26</v>
      </c>
      <c r="C384">
        <v>34</v>
      </c>
      <c r="D384" t="s">
        <v>830</v>
      </c>
      <c r="E384">
        <v>499</v>
      </c>
      <c r="F384" t="s">
        <v>90</v>
      </c>
      <c r="G384" t="s">
        <v>65</v>
      </c>
      <c r="H384">
        <v>28</v>
      </c>
      <c r="I384" t="str">
        <f>IFERROR(VLOOKUP(C384,Merchants!$A:$D,2,FALSE),"Merchant not found")</f>
        <v>Merchant_034</v>
      </c>
      <c r="J384" t="str">
        <f>IFERROR(VLOOKUP(C384,Merchants!$A:$D,3,FALSE),"Merchant not found")</f>
        <v>travel</v>
      </c>
      <c r="K384" t="str">
        <f>IFERROR(VLOOKUP(C384,Merchants!$A:$D,4,FALSE),"Merchant not found")</f>
        <v>South</v>
      </c>
    </row>
    <row r="385" spans="1:11" x14ac:dyDescent="0.35">
      <c r="A385" t="s">
        <v>831</v>
      </c>
      <c r="B385">
        <v>52</v>
      </c>
      <c r="C385">
        <v>27</v>
      </c>
      <c r="D385" t="s">
        <v>832</v>
      </c>
      <c r="E385">
        <v>499</v>
      </c>
      <c r="F385" t="s">
        <v>90</v>
      </c>
      <c r="G385" t="s">
        <v>65</v>
      </c>
      <c r="H385">
        <v>42</v>
      </c>
      <c r="I385" t="str">
        <f>IFERROR(VLOOKUP(C385,Merchants!$A:$D,2,FALSE),"Merchant not found")</f>
        <v>Merchant_027</v>
      </c>
      <c r="J385" t="str">
        <f>IFERROR(VLOOKUP(C385,Merchants!$A:$D,3,FALSE),"Merchant not found")</f>
        <v>ecommerce</v>
      </c>
      <c r="K385" t="str">
        <f>IFERROR(VLOOKUP(C385,Merchants!$A:$D,4,FALSE),"Merchant not found")</f>
        <v>North</v>
      </c>
    </row>
    <row r="386" spans="1:11" x14ac:dyDescent="0.35">
      <c r="A386" t="s">
        <v>833</v>
      </c>
      <c r="B386">
        <v>349</v>
      </c>
      <c r="C386">
        <v>9</v>
      </c>
      <c r="D386" t="s">
        <v>834</v>
      </c>
      <c r="E386">
        <v>499</v>
      </c>
      <c r="F386" t="s">
        <v>64</v>
      </c>
      <c r="G386" t="s">
        <v>65</v>
      </c>
      <c r="H386">
        <v>0</v>
      </c>
      <c r="I386" t="str">
        <f>IFERROR(VLOOKUP(C386,Merchants!$A:$D,2,FALSE),"Merchant not found")</f>
        <v>Merchant_009</v>
      </c>
      <c r="J386" t="str">
        <f>IFERROR(VLOOKUP(C386,Merchants!$A:$D,3,FALSE),"Merchant not found")</f>
        <v>ecommerce</v>
      </c>
      <c r="K386" t="str">
        <f>IFERROR(VLOOKUP(C386,Merchants!$A:$D,4,FALSE),"Merchant not found")</f>
        <v>North</v>
      </c>
    </row>
    <row r="387" spans="1:11" x14ac:dyDescent="0.35">
      <c r="A387" t="s">
        <v>835</v>
      </c>
      <c r="B387">
        <v>335</v>
      </c>
      <c r="C387">
        <v>31</v>
      </c>
      <c r="D387" t="s">
        <v>836</v>
      </c>
      <c r="E387">
        <v>49</v>
      </c>
      <c r="F387" t="s">
        <v>90</v>
      </c>
      <c r="G387" t="s">
        <v>65</v>
      </c>
      <c r="H387">
        <v>61</v>
      </c>
      <c r="I387" t="str">
        <f>IFERROR(VLOOKUP(C387,Merchants!$A:$D,2,FALSE),"Merchant not found")</f>
        <v>Merchant_031</v>
      </c>
      <c r="J387" t="str">
        <f>IFERROR(VLOOKUP(C387,Merchants!$A:$D,3,FALSE),"Merchant not found")</f>
        <v>bill_payment</v>
      </c>
      <c r="K387" t="str">
        <f>IFERROR(VLOOKUP(C387,Merchants!$A:$D,4,FALSE),"Merchant not found")</f>
        <v>East</v>
      </c>
    </row>
    <row r="388" spans="1:11" x14ac:dyDescent="0.35">
      <c r="A388" t="s">
        <v>837</v>
      </c>
      <c r="B388">
        <v>148</v>
      </c>
      <c r="C388">
        <v>21</v>
      </c>
      <c r="D388" t="s">
        <v>838</v>
      </c>
      <c r="E388">
        <v>49</v>
      </c>
      <c r="F388" t="s">
        <v>90</v>
      </c>
      <c r="G388" t="s">
        <v>65</v>
      </c>
      <c r="H388">
        <v>36</v>
      </c>
      <c r="I388" t="str">
        <f>IFERROR(VLOOKUP(C388,Merchants!$A:$D,2,FALSE),"Merchant not found")</f>
        <v>Merchant_021</v>
      </c>
      <c r="J388" t="str">
        <f>IFERROR(VLOOKUP(C388,Merchants!$A:$D,3,FALSE),"Merchant not found")</f>
        <v>food_delivery</v>
      </c>
      <c r="K388" t="str">
        <f>IFERROR(VLOOKUP(C388,Merchants!$A:$D,4,FALSE),"Merchant not found")</f>
        <v>East</v>
      </c>
    </row>
    <row r="389" spans="1:11" x14ac:dyDescent="0.35">
      <c r="A389" t="s">
        <v>839</v>
      </c>
      <c r="B389">
        <v>46</v>
      </c>
      <c r="C389">
        <v>37</v>
      </c>
      <c r="D389" t="s">
        <v>840</v>
      </c>
      <c r="E389">
        <v>99</v>
      </c>
      <c r="F389" t="s">
        <v>64</v>
      </c>
      <c r="G389" t="s">
        <v>65</v>
      </c>
      <c r="H389">
        <v>29</v>
      </c>
      <c r="I389" t="str">
        <f>IFERROR(VLOOKUP(C389,Merchants!$A:$D,2,FALSE),"Merchant not found")</f>
        <v>Merchant_037</v>
      </c>
      <c r="J389" t="str">
        <f>IFERROR(VLOOKUP(C389,Merchants!$A:$D,3,FALSE),"Merchant not found")</f>
        <v>entertainment</v>
      </c>
      <c r="K389" t="str">
        <f>IFERROR(VLOOKUP(C389,Merchants!$A:$D,4,FALSE),"Merchant not found")</f>
        <v>South</v>
      </c>
    </row>
    <row r="390" spans="1:11" x14ac:dyDescent="0.35">
      <c r="A390" t="s">
        <v>841</v>
      </c>
      <c r="B390">
        <v>20</v>
      </c>
      <c r="C390">
        <v>12</v>
      </c>
      <c r="D390" t="s">
        <v>842</v>
      </c>
      <c r="E390">
        <v>799</v>
      </c>
      <c r="F390" t="s">
        <v>90</v>
      </c>
      <c r="G390" t="s">
        <v>65</v>
      </c>
      <c r="H390">
        <v>53</v>
      </c>
      <c r="I390" t="str">
        <f>IFERROR(VLOOKUP(C390,Merchants!$A:$D,2,FALSE),"Merchant not found")</f>
        <v>Merchant_012</v>
      </c>
      <c r="J390" t="str">
        <f>IFERROR(VLOOKUP(C390,Merchants!$A:$D,3,FALSE),"Merchant not found")</f>
        <v>ecommerce</v>
      </c>
      <c r="K390" t="str">
        <f>IFERROR(VLOOKUP(C390,Merchants!$A:$D,4,FALSE),"Merchant not found")</f>
        <v>East</v>
      </c>
    </row>
    <row r="391" spans="1:11" x14ac:dyDescent="0.35">
      <c r="A391" t="s">
        <v>843</v>
      </c>
      <c r="B391">
        <v>19</v>
      </c>
      <c r="C391">
        <v>26</v>
      </c>
      <c r="D391" t="s">
        <v>844</v>
      </c>
      <c r="E391">
        <v>49</v>
      </c>
      <c r="F391" t="s">
        <v>68</v>
      </c>
      <c r="G391" t="s">
        <v>65</v>
      </c>
      <c r="H391">
        <v>100</v>
      </c>
      <c r="I391" t="str">
        <f>IFERROR(VLOOKUP(C391,Merchants!$A:$D,2,FALSE),"Merchant not found")</f>
        <v>Merchant_026</v>
      </c>
      <c r="J391" t="str">
        <f>IFERROR(VLOOKUP(C391,Merchants!$A:$D,3,FALSE),"Merchant not found")</f>
        <v>food_delivery</v>
      </c>
      <c r="K391" t="str">
        <f>IFERROR(VLOOKUP(C391,Merchants!$A:$D,4,FALSE),"Merchant not found")</f>
        <v>East</v>
      </c>
    </row>
    <row r="392" spans="1:11" x14ac:dyDescent="0.35">
      <c r="A392" t="s">
        <v>845</v>
      </c>
      <c r="B392">
        <v>149</v>
      </c>
      <c r="C392">
        <v>3</v>
      </c>
      <c r="D392" t="s">
        <v>846</v>
      </c>
      <c r="E392">
        <v>4999</v>
      </c>
      <c r="F392" t="s">
        <v>64</v>
      </c>
      <c r="G392" t="s">
        <v>65</v>
      </c>
      <c r="H392">
        <v>1</v>
      </c>
      <c r="I392" t="str">
        <f>IFERROR(VLOOKUP(C392,Merchants!$A:$D,2,FALSE),"Merchant not found")</f>
        <v>Merchant_003</v>
      </c>
      <c r="J392" t="str">
        <f>IFERROR(VLOOKUP(C392,Merchants!$A:$D,3,FALSE),"Merchant not found")</f>
        <v>grocery</v>
      </c>
      <c r="K392" t="str">
        <f>IFERROR(VLOOKUP(C392,Merchants!$A:$D,4,FALSE),"Merchant not found")</f>
        <v>East</v>
      </c>
    </row>
    <row r="393" spans="1:11" x14ac:dyDescent="0.35">
      <c r="A393" t="s">
        <v>847</v>
      </c>
      <c r="B393">
        <v>55</v>
      </c>
      <c r="C393">
        <v>22</v>
      </c>
      <c r="D393" t="s">
        <v>848</v>
      </c>
      <c r="E393">
        <v>499</v>
      </c>
      <c r="F393" t="s">
        <v>68</v>
      </c>
      <c r="G393" t="s">
        <v>65</v>
      </c>
      <c r="H393">
        <v>36</v>
      </c>
      <c r="I393" t="str">
        <f>IFERROR(VLOOKUP(C393,Merchants!$A:$D,2,FALSE),"Merchant not found")</f>
        <v>Merchant_022</v>
      </c>
      <c r="J393" t="str">
        <f>IFERROR(VLOOKUP(C393,Merchants!$A:$D,3,FALSE),"Merchant not found")</f>
        <v>travel</v>
      </c>
      <c r="K393" t="str">
        <f>IFERROR(VLOOKUP(C393,Merchants!$A:$D,4,FALSE),"Merchant not found")</f>
        <v>South</v>
      </c>
    </row>
    <row r="394" spans="1:11" x14ac:dyDescent="0.35">
      <c r="A394" t="s">
        <v>849</v>
      </c>
      <c r="B394">
        <v>269</v>
      </c>
      <c r="C394">
        <v>32</v>
      </c>
      <c r="D394" t="s">
        <v>850</v>
      </c>
      <c r="E394">
        <v>49</v>
      </c>
      <c r="F394" t="s">
        <v>90</v>
      </c>
      <c r="G394" t="s">
        <v>65</v>
      </c>
      <c r="H394">
        <v>17</v>
      </c>
      <c r="I394" t="str">
        <f>IFERROR(VLOOKUP(C394,Merchants!$A:$D,2,FALSE),"Merchant not found")</f>
        <v>Merchant_032</v>
      </c>
      <c r="J394" t="str">
        <f>IFERROR(VLOOKUP(C394,Merchants!$A:$D,3,FALSE),"Merchant not found")</f>
        <v>food_delivery</v>
      </c>
      <c r="K394" t="str">
        <f>IFERROR(VLOOKUP(C394,Merchants!$A:$D,4,FALSE),"Merchant not found")</f>
        <v>West</v>
      </c>
    </row>
    <row r="395" spans="1:11" x14ac:dyDescent="0.35">
      <c r="A395" t="s">
        <v>851</v>
      </c>
      <c r="B395">
        <v>140</v>
      </c>
      <c r="C395">
        <v>13</v>
      </c>
      <c r="D395" t="s">
        <v>852</v>
      </c>
      <c r="E395">
        <v>2999</v>
      </c>
      <c r="F395" t="s">
        <v>68</v>
      </c>
      <c r="G395" t="s">
        <v>65</v>
      </c>
      <c r="H395">
        <v>14</v>
      </c>
      <c r="I395" t="str">
        <f>IFERROR(VLOOKUP(C395,Merchants!$A:$D,2,FALSE),"Merchant not found")</f>
        <v>Merchant_013</v>
      </c>
      <c r="J395" t="str">
        <f>IFERROR(VLOOKUP(C395,Merchants!$A:$D,3,FALSE),"Merchant not found")</f>
        <v>travel</v>
      </c>
      <c r="K395" t="str">
        <f>IFERROR(VLOOKUP(C395,Merchants!$A:$D,4,FALSE),"Merchant not found")</f>
        <v>East</v>
      </c>
    </row>
    <row r="396" spans="1:11" x14ac:dyDescent="0.35">
      <c r="A396" t="s">
        <v>853</v>
      </c>
      <c r="B396">
        <v>235</v>
      </c>
      <c r="C396">
        <v>17</v>
      </c>
      <c r="D396" t="s">
        <v>854</v>
      </c>
      <c r="E396">
        <v>2999</v>
      </c>
      <c r="F396" t="s">
        <v>68</v>
      </c>
      <c r="G396" t="s">
        <v>65</v>
      </c>
      <c r="H396">
        <v>91</v>
      </c>
      <c r="I396" t="str">
        <f>IFERROR(VLOOKUP(C396,Merchants!$A:$D,2,FALSE),"Merchant not found")</f>
        <v>Merchant_017</v>
      </c>
      <c r="J396" t="str">
        <f>IFERROR(VLOOKUP(C396,Merchants!$A:$D,3,FALSE),"Merchant not found")</f>
        <v>grocery</v>
      </c>
      <c r="K396" t="str">
        <f>IFERROR(VLOOKUP(C396,Merchants!$A:$D,4,FALSE),"Merchant not found")</f>
        <v>North</v>
      </c>
    </row>
    <row r="397" spans="1:11" x14ac:dyDescent="0.35">
      <c r="A397" t="s">
        <v>855</v>
      </c>
      <c r="B397">
        <v>173</v>
      </c>
      <c r="C397">
        <v>19</v>
      </c>
      <c r="D397" t="s">
        <v>856</v>
      </c>
      <c r="E397">
        <v>499</v>
      </c>
      <c r="F397" t="s">
        <v>68</v>
      </c>
      <c r="G397" t="s">
        <v>91</v>
      </c>
      <c r="H397">
        <v>72</v>
      </c>
      <c r="I397" t="str">
        <f>IFERROR(VLOOKUP(C397,Merchants!$A:$D,2,FALSE),"Merchant not found")</f>
        <v>Merchant_019</v>
      </c>
      <c r="J397" t="str">
        <f>IFERROR(VLOOKUP(C397,Merchants!$A:$D,3,FALSE),"Merchant not found")</f>
        <v>grocery</v>
      </c>
      <c r="K397" t="str">
        <f>IFERROR(VLOOKUP(C397,Merchants!$A:$D,4,FALSE),"Merchant not found")</f>
        <v>North</v>
      </c>
    </row>
    <row r="398" spans="1:11" x14ac:dyDescent="0.35">
      <c r="A398" t="s">
        <v>857</v>
      </c>
      <c r="B398">
        <v>313</v>
      </c>
      <c r="C398">
        <v>26</v>
      </c>
      <c r="D398" t="s">
        <v>858</v>
      </c>
      <c r="E398">
        <v>499</v>
      </c>
      <c r="F398" t="s">
        <v>68</v>
      </c>
      <c r="G398" t="s">
        <v>65</v>
      </c>
      <c r="H398">
        <v>54</v>
      </c>
      <c r="I398" t="str">
        <f>IFERROR(VLOOKUP(C398,Merchants!$A:$D,2,FALSE),"Merchant not found")</f>
        <v>Merchant_026</v>
      </c>
      <c r="J398" t="str">
        <f>IFERROR(VLOOKUP(C398,Merchants!$A:$D,3,FALSE),"Merchant not found")</f>
        <v>food_delivery</v>
      </c>
      <c r="K398" t="str">
        <f>IFERROR(VLOOKUP(C398,Merchants!$A:$D,4,FALSE),"Merchant not found")</f>
        <v>East</v>
      </c>
    </row>
    <row r="399" spans="1:11" x14ac:dyDescent="0.35">
      <c r="A399" t="s">
        <v>859</v>
      </c>
      <c r="B399">
        <v>206</v>
      </c>
      <c r="C399">
        <v>7</v>
      </c>
      <c r="D399" t="s">
        <v>860</v>
      </c>
      <c r="E399">
        <v>149</v>
      </c>
      <c r="F399" t="s">
        <v>64</v>
      </c>
      <c r="G399" t="s">
        <v>65</v>
      </c>
      <c r="H399">
        <v>23</v>
      </c>
      <c r="I399" t="str">
        <f>IFERROR(VLOOKUP(C399,Merchants!$A:$D,2,FALSE),"Merchant not found")</f>
        <v>Merchant_007</v>
      </c>
      <c r="J399" t="str">
        <f>IFERROR(VLOOKUP(C399,Merchants!$A:$D,3,FALSE),"Merchant not found")</f>
        <v>food_delivery</v>
      </c>
      <c r="K399" t="str">
        <f>IFERROR(VLOOKUP(C399,Merchants!$A:$D,4,FALSE),"Merchant not found")</f>
        <v>East</v>
      </c>
    </row>
    <row r="400" spans="1:11" x14ac:dyDescent="0.35">
      <c r="A400" t="s">
        <v>861</v>
      </c>
      <c r="B400">
        <v>128</v>
      </c>
      <c r="C400">
        <v>1</v>
      </c>
      <c r="D400" t="s">
        <v>862</v>
      </c>
      <c r="E400">
        <v>1499</v>
      </c>
      <c r="F400" t="s">
        <v>73</v>
      </c>
      <c r="G400" t="s">
        <v>65</v>
      </c>
      <c r="H400">
        <v>33</v>
      </c>
      <c r="I400" t="str">
        <f>IFERROR(VLOOKUP(C400,Merchants!$A:$D,2,FALSE),"Merchant not found")</f>
        <v>Merchant_001</v>
      </c>
      <c r="J400" t="str">
        <f>IFERROR(VLOOKUP(C400,Merchants!$A:$D,3,FALSE),"Merchant not found")</f>
        <v>ecommerce</v>
      </c>
      <c r="K400" t="str">
        <f>IFERROR(VLOOKUP(C400,Merchants!$A:$D,4,FALSE),"Merchant not found")</f>
        <v>South</v>
      </c>
    </row>
    <row r="401" spans="1:11" x14ac:dyDescent="0.35">
      <c r="A401" t="s">
        <v>863</v>
      </c>
      <c r="B401">
        <v>137</v>
      </c>
      <c r="C401">
        <v>22</v>
      </c>
      <c r="D401" t="s">
        <v>864</v>
      </c>
      <c r="E401">
        <v>799</v>
      </c>
      <c r="F401" t="s">
        <v>68</v>
      </c>
      <c r="G401" t="s">
        <v>91</v>
      </c>
      <c r="H401">
        <v>38</v>
      </c>
      <c r="I401" t="str">
        <f>IFERROR(VLOOKUP(C401,Merchants!$A:$D,2,FALSE),"Merchant not found")</f>
        <v>Merchant_022</v>
      </c>
      <c r="J401" t="str">
        <f>IFERROR(VLOOKUP(C401,Merchants!$A:$D,3,FALSE),"Merchant not found")</f>
        <v>travel</v>
      </c>
      <c r="K401" t="str">
        <f>IFERROR(VLOOKUP(C401,Merchants!$A:$D,4,FALSE),"Merchant not found")</f>
        <v>South</v>
      </c>
    </row>
    <row r="402" spans="1:11" x14ac:dyDescent="0.35">
      <c r="A402" t="s">
        <v>865</v>
      </c>
      <c r="B402">
        <v>6</v>
      </c>
      <c r="C402">
        <v>17</v>
      </c>
      <c r="D402" t="s">
        <v>866</v>
      </c>
      <c r="E402">
        <v>49</v>
      </c>
      <c r="F402" t="s">
        <v>68</v>
      </c>
      <c r="G402" t="s">
        <v>65</v>
      </c>
      <c r="H402">
        <v>83</v>
      </c>
      <c r="I402" t="str">
        <f>IFERROR(VLOOKUP(C402,Merchants!$A:$D,2,FALSE),"Merchant not found")</f>
        <v>Merchant_017</v>
      </c>
      <c r="J402" t="str">
        <f>IFERROR(VLOOKUP(C402,Merchants!$A:$D,3,FALSE),"Merchant not found")</f>
        <v>grocery</v>
      </c>
      <c r="K402" t="str">
        <f>IFERROR(VLOOKUP(C402,Merchants!$A:$D,4,FALSE),"Merchant not found")</f>
        <v>North</v>
      </c>
    </row>
    <row r="403" spans="1:11" x14ac:dyDescent="0.35">
      <c r="A403" t="s">
        <v>867</v>
      </c>
      <c r="B403">
        <v>32</v>
      </c>
      <c r="C403">
        <v>8</v>
      </c>
      <c r="D403" t="s">
        <v>868</v>
      </c>
      <c r="E403">
        <v>299</v>
      </c>
      <c r="F403" t="s">
        <v>90</v>
      </c>
      <c r="G403" t="s">
        <v>65</v>
      </c>
      <c r="H403">
        <v>59</v>
      </c>
      <c r="I403" t="str">
        <f>IFERROR(VLOOKUP(C403,Merchants!$A:$D,2,FALSE),"Merchant not found")</f>
        <v>Merchant_008</v>
      </c>
      <c r="J403" t="str">
        <f>IFERROR(VLOOKUP(C403,Merchants!$A:$D,3,FALSE),"Merchant not found")</f>
        <v>food_delivery</v>
      </c>
      <c r="K403" t="str">
        <f>IFERROR(VLOOKUP(C403,Merchants!$A:$D,4,FALSE),"Merchant not found")</f>
        <v>North</v>
      </c>
    </row>
    <row r="404" spans="1:11" x14ac:dyDescent="0.35">
      <c r="A404" t="s">
        <v>869</v>
      </c>
      <c r="B404">
        <v>258</v>
      </c>
      <c r="C404">
        <v>20</v>
      </c>
      <c r="D404" t="s">
        <v>870</v>
      </c>
      <c r="E404">
        <v>149</v>
      </c>
      <c r="F404" t="s">
        <v>68</v>
      </c>
      <c r="G404" t="s">
        <v>65</v>
      </c>
      <c r="H404">
        <v>88</v>
      </c>
      <c r="I404" t="str">
        <f>IFERROR(VLOOKUP(C404,Merchants!$A:$D,2,FALSE),"Merchant not found")</f>
        <v>Merchant_020</v>
      </c>
      <c r="J404" t="str">
        <f>IFERROR(VLOOKUP(C404,Merchants!$A:$D,3,FALSE),"Merchant not found")</f>
        <v>food_delivery</v>
      </c>
      <c r="K404" t="str">
        <f>IFERROR(VLOOKUP(C404,Merchants!$A:$D,4,FALSE),"Merchant not found")</f>
        <v>East</v>
      </c>
    </row>
    <row r="405" spans="1:11" x14ac:dyDescent="0.35">
      <c r="A405" t="s">
        <v>871</v>
      </c>
      <c r="B405">
        <v>152</v>
      </c>
      <c r="C405">
        <v>24</v>
      </c>
      <c r="D405" t="s">
        <v>872</v>
      </c>
      <c r="E405">
        <v>149</v>
      </c>
      <c r="F405" t="s">
        <v>68</v>
      </c>
      <c r="G405" t="s">
        <v>116</v>
      </c>
      <c r="H405">
        <v>78</v>
      </c>
      <c r="I405" t="str">
        <f>IFERROR(VLOOKUP(C405,Merchants!$A:$D,2,FALSE),"Merchant not found")</f>
        <v>Merchant_024</v>
      </c>
      <c r="J405" t="str">
        <f>IFERROR(VLOOKUP(C405,Merchants!$A:$D,3,FALSE),"Merchant not found")</f>
        <v>grocery</v>
      </c>
      <c r="K405" t="str">
        <f>IFERROR(VLOOKUP(C405,Merchants!$A:$D,4,FALSE),"Merchant not found")</f>
        <v>North</v>
      </c>
    </row>
    <row r="406" spans="1:11" x14ac:dyDescent="0.35">
      <c r="A406" t="s">
        <v>873</v>
      </c>
      <c r="B406">
        <v>245</v>
      </c>
      <c r="C406">
        <v>10</v>
      </c>
      <c r="D406" t="s">
        <v>874</v>
      </c>
      <c r="E406">
        <v>799</v>
      </c>
      <c r="F406" t="s">
        <v>64</v>
      </c>
      <c r="G406" t="s">
        <v>65</v>
      </c>
      <c r="H406">
        <v>58</v>
      </c>
      <c r="I406" t="str">
        <f>IFERROR(VLOOKUP(C406,Merchants!$A:$D,2,FALSE),"Merchant not found")</f>
        <v>Merchant_010</v>
      </c>
      <c r="J406" t="str">
        <f>IFERROR(VLOOKUP(C406,Merchants!$A:$D,3,FALSE),"Merchant not found")</f>
        <v>grocery</v>
      </c>
      <c r="K406" t="str">
        <f>IFERROR(VLOOKUP(C406,Merchants!$A:$D,4,FALSE),"Merchant not found")</f>
        <v>West</v>
      </c>
    </row>
    <row r="407" spans="1:11" x14ac:dyDescent="0.35">
      <c r="A407" t="s">
        <v>875</v>
      </c>
      <c r="B407">
        <v>213</v>
      </c>
      <c r="C407">
        <v>36</v>
      </c>
      <c r="D407" t="s">
        <v>876</v>
      </c>
      <c r="E407">
        <v>49</v>
      </c>
      <c r="F407" t="s">
        <v>64</v>
      </c>
      <c r="G407" t="s">
        <v>65</v>
      </c>
      <c r="H407">
        <v>60</v>
      </c>
      <c r="I407" t="str">
        <f>IFERROR(VLOOKUP(C407,Merchants!$A:$D,2,FALSE),"Merchant not found")</f>
        <v>Merchant_036</v>
      </c>
      <c r="J407" t="str">
        <f>IFERROR(VLOOKUP(C407,Merchants!$A:$D,3,FALSE),"Merchant not found")</f>
        <v>entertainment</v>
      </c>
      <c r="K407" t="str">
        <f>IFERROR(VLOOKUP(C407,Merchants!$A:$D,4,FALSE),"Merchant not found")</f>
        <v>East</v>
      </c>
    </row>
    <row r="408" spans="1:11" x14ac:dyDescent="0.35">
      <c r="A408" t="s">
        <v>877</v>
      </c>
      <c r="B408">
        <v>341</v>
      </c>
      <c r="C408">
        <v>14</v>
      </c>
      <c r="D408" t="s">
        <v>878</v>
      </c>
      <c r="E408">
        <v>99</v>
      </c>
      <c r="F408" t="s">
        <v>73</v>
      </c>
      <c r="G408" t="s">
        <v>65</v>
      </c>
      <c r="H408">
        <v>97</v>
      </c>
      <c r="I408" t="str">
        <f>IFERROR(VLOOKUP(C408,Merchants!$A:$D,2,FALSE),"Merchant not found")</f>
        <v>Merchant_014</v>
      </c>
      <c r="J408" t="str">
        <f>IFERROR(VLOOKUP(C408,Merchants!$A:$D,3,FALSE),"Merchant not found")</f>
        <v>grocery</v>
      </c>
      <c r="K408" t="str">
        <f>IFERROR(VLOOKUP(C408,Merchants!$A:$D,4,FALSE),"Merchant not found")</f>
        <v>East</v>
      </c>
    </row>
    <row r="409" spans="1:11" x14ac:dyDescent="0.35">
      <c r="A409" t="s">
        <v>879</v>
      </c>
      <c r="B409">
        <v>306</v>
      </c>
      <c r="C409">
        <v>6</v>
      </c>
      <c r="D409" t="s">
        <v>880</v>
      </c>
      <c r="E409">
        <v>149</v>
      </c>
      <c r="F409" t="s">
        <v>73</v>
      </c>
      <c r="G409" t="s">
        <v>65</v>
      </c>
      <c r="H409">
        <v>67</v>
      </c>
      <c r="I409" t="str">
        <f>IFERROR(VLOOKUP(C409,Merchants!$A:$D,2,FALSE),"Merchant not found")</f>
        <v>Merchant_006</v>
      </c>
      <c r="J409" t="str">
        <f>IFERROR(VLOOKUP(C409,Merchants!$A:$D,3,FALSE),"Merchant not found")</f>
        <v>food_delivery</v>
      </c>
      <c r="K409" t="str">
        <f>IFERROR(VLOOKUP(C409,Merchants!$A:$D,4,FALSE),"Merchant not found")</f>
        <v>South</v>
      </c>
    </row>
    <row r="410" spans="1:11" x14ac:dyDescent="0.35">
      <c r="A410" t="s">
        <v>881</v>
      </c>
      <c r="B410">
        <v>186</v>
      </c>
      <c r="C410">
        <v>5</v>
      </c>
      <c r="D410" t="s">
        <v>882</v>
      </c>
      <c r="E410">
        <v>499</v>
      </c>
      <c r="F410" t="s">
        <v>68</v>
      </c>
      <c r="G410" t="s">
        <v>65</v>
      </c>
      <c r="H410">
        <v>72</v>
      </c>
      <c r="I410" t="str">
        <f>IFERROR(VLOOKUP(C410,Merchants!$A:$D,2,FALSE),"Merchant not found")</f>
        <v>Merchant_005</v>
      </c>
      <c r="J410" t="str">
        <f>IFERROR(VLOOKUP(C410,Merchants!$A:$D,3,FALSE),"Merchant not found")</f>
        <v>recharge</v>
      </c>
      <c r="K410" t="str">
        <f>IFERROR(VLOOKUP(C410,Merchants!$A:$D,4,FALSE),"Merchant not found")</f>
        <v>South</v>
      </c>
    </row>
    <row r="411" spans="1:11" x14ac:dyDescent="0.35">
      <c r="A411" t="s">
        <v>883</v>
      </c>
      <c r="B411">
        <v>281</v>
      </c>
      <c r="C411">
        <v>33</v>
      </c>
      <c r="D411" t="s">
        <v>884</v>
      </c>
      <c r="E411">
        <v>4999</v>
      </c>
      <c r="F411" t="s">
        <v>68</v>
      </c>
      <c r="G411" t="s">
        <v>65</v>
      </c>
      <c r="H411">
        <v>25</v>
      </c>
      <c r="I411" t="str">
        <f>IFERROR(VLOOKUP(C411,Merchants!$A:$D,2,FALSE),"Merchant not found")</f>
        <v>Merchant_033</v>
      </c>
      <c r="J411" t="str">
        <f>IFERROR(VLOOKUP(C411,Merchants!$A:$D,3,FALSE),"Merchant not found")</f>
        <v>bill_payment</v>
      </c>
      <c r="K411" t="str">
        <f>IFERROR(VLOOKUP(C411,Merchants!$A:$D,4,FALSE),"Merchant not found")</f>
        <v>East</v>
      </c>
    </row>
    <row r="412" spans="1:11" x14ac:dyDescent="0.35">
      <c r="A412" t="s">
        <v>885</v>
      </c>
      <c r="B412">
        <v>85</v>
      </c>
      <c r="C412">
        <v>21</v>
      </c>
      <c r="D412" t="s">
        <v>886</v>
      </c>
      <c r="E412">
        <v>99</v>
      </c>
      <c r="F412" t="s">
        <v>68</v>
      </c>
      <c r="G412" t="s">
        <v>65</v>
      </c>
      <c r="H412">
        <v>66</v>
      </c>
      <c r="I412" t="str">
        <f>IFERROR(VLOOKUP(C412,Merchants!$A:$D,2,FALSE),"Merchant not found")</f>
        <v>Merchant_021</v>
      </c>
      <c r="J412" t="str">
        <f>IFERROR(VLOOKUP(C412,Merchants!$A:$D,3,FALSE),"Merchant not found")</f>
        <v>food_delivery</v>
      </c>
      <c r="K412" t="str">
        <f>IFERROR(VLOOKUP(C412,Merchants!$A:$D,4,FALSE),"Merchant not found")</f>
        <v>East</v>
      </c>
    </row>
    <row r="413" spans="1:11" x14ac:dyDescent="0.35">
      <c r="A413" t="s">
        <v>887</v>
      </c>
      <c r="B413">
        <v>106</v>
      </c>
      <c r="C413">
        <v>38</v>
      </c>
      <c r="D413" t="s">
        <v>888</v>
      </c>
      <c r="E413">
        <v>499</v>
      </c>
      <c r="F413" t="s">
        <v>68</v>
      </c>
      <c r="G413" t="s">
        <v>65</v>
      </c>
      <c r="H413">
        <v>62</v>
      </c>
      <c r="I413" t="str">
        <f>IFERROR(VLOOKUP(C413,Merchants!$A:$D,2,FALSE),"Merchant not found")</f>
        <v>Merchant_038</v>
      </c>
      <c r="J413" t="str">
        <f>IFERROR(VLOOKUP(C413,Merchants!$A:$D,3,FALSE),"Merchant not found")</f>
        <v>grocery</v>
      </c>
      <c r="K413" t="str">
        <f>IFERROR(VLOOKUP(C413,Merchants!$A:$D,4,FALSE),"Merchant not found")</f>
        <v>East</v>
      </c>
    </row>
    <row r="414" spans="1:11" x14ac:dyDescent="0.35">
      <c r="A414" t="s">
        <v>889</v>
      </c>
      <c r="B414">
        <v>29</v>
      </c>
      <c r="C414">
        <v>30</v>
      </c>
      <c r="D414" t="s">
        <v>890</v>
      </c>
      <c r="E414">
        <v>149</v>
      </c>
      <c r="F414" t="s">
        <v>73</v>
      </c>
      <c r="G414" t="s">
        <v>65</v>
      </c>
      <c r="H414">
        <v>16</v>
      </c>
      <c r="I414" t="str">
        <f>IFERROR(VLOOKUP(C414,Merchants!$A:$D,2,FALSE),"Merchant not found")</f>
        <v>Merchant_030</v>
      </c>
      <c r="J414" t="str">
        <f>IFERROR(VLOOKUP(C414,Merchants!$A:$D,3,FALSE),"Merchant not found")</f>
        <v>travel</v>
      </c>
      <c r="K414" t="str">
        <f>IFERROR(VLOOKUP(C414,Merchants!$A:$D,4,FALSE),"Merchant not found")</f>
        <v>West</v>
      </c>
    </row>
    <row r="415" spans="1:11" x14ac:dyDescent="0.35">
      <c r="A415" t="s">
        <v>891</v>
      </c>
      <c r="B415">
        <v>289</v>
      </c>
      <c r="C415">
        <v>4</v>
      </c>
      <c r="D415" t="s">
        <v>892</v>
      </c>
      <c r="E415">
        <v>1499</v>
      </c>
      <c r="F415" t="s">
        <v>90</v>
      </c>
      <c r="G415" t="s">
        <v>65</v>
      </c>
      <c r="H415">
        <v>71</v>
      </c>
      <c r="I415" t="str">
        <f>IFERROR(VLOOKUP(C415,Merchants!$A:$D,2,FALSE),"Merchant not found")</f>
        <v>Merchant_004</v>
      </c>
      <c r="J415" t="str">
        <f>IFERROR(VLOOKUP(C415,Merchants!$A:$D,3,FALSE),"Merchant not found")</f>
        <v>ecommerce</v>
      </c>
      <c r="K415" t="str">
        <f>IFERROR(VLOOKUP(C415,Merchants!$A:$D,4,FALSE),"Merchant not found")</f>
        <v>East</v>
      </c>
    </row>
    <row r="416" spans="1:11" x14ac:dyDescent="0.35">
      <c r="A416" t="s">
        <v>893</v>
      </c>
      <c r="B416">
        <v>158</v>
      </c>
      <c r="C416">
        <v>2</v>
      </c>
      <c r="D416" t="s">
        <v>894</v>
      </c>
      <c r="E416">
        <v>1499</v>
      </c>
      <c r="F416" t="s">
        <v>90</v>
      </c>
      <c r="G416" t="s">
        <v>65</v>
      </c>
      <c r="H416">
        <v>50</v>
      </c>
      <c r="I416" t="str">
        <f>IFERROR(VLOOKUP(C416,Merchants!$A:$D,2,FALSE),"Merchant not found")</f>
        <v>Merchant_002</v>
      </c>
      <c r="J416" t="str">
        <f>IFERROR(VLOOKUP(C416,Merchants!$A:$D,3,FALSE),"Merchant not found")</f>
        <v>grocery</v>
      </c>
      <c r="K416" t="str">
        <f>IFERROR(VLOOKUP(C416,Merchants!$A:$D,4,FALSE),"Merchant not found")</f>
        <v>West</v>
      </c>
    </row>
    <row r="417" spans="1:11" x14ac:dyDescent="0.35">
      <c r="A417" t="s">
        <v>895</v>
      </c>
      <c r="B417">
        <v>112</v>
      </c>
      <c r="C417">
        <v>38</v>
      </c>
      <c r="D417" t="s">
        <v>896</v>
      </c>
      <c r="E417">
        <v>49</v>
      </c>
      <c r="F417" t="s">
        <v>68</v>
      </c>
      <c r="G417" t="s">
        <v>65</v>
      </c>
      <c r="H417">
        <v>9</v>
      </c>
      <c r="I417" t="str">
        <f>IFERROR(VLOOKUP(C417,Merchants!$A:$D,2,FALSE),"Merchant not found")</f>
        <v>Merchant_038</v>
      </c>
      <c r="J417" t="str">
        <f>IFERROR(VLOOKUP(C417,Merchants!$A:$D,3,FALSE),"Merchant not found")</f>
        <v>grocery</v>
      </c>
      <c r="K417" t="str">
        <f>IFERROR(VLOOKUP(C417,Merchants!$A:$D,4,FALSE),"Merchant not found")</f>
        <v>East</v>
      </c>
    </row>
    <row r="418" spans="1:11" x14ac:dyDescent="0.35">
      <c r="A418" t="s">
        <v>897</v>
      </c>
      <c r="B418">
        <v>33</v>
      </c>
      <c r="C418">
        <v>35</v>
      </c>
      <c r="D418" t="s">
        <v>898</v>
      </c>
      <c r="E418">
        <v>299</v>
      </c>
      <c r="F418" t="s">
        <v>90</v>
      </c>
      <c r="G418" t="s">
        <v>91</v>
      </c>
      <c r="H418">
        <v>7</v>
      </c>
      <c r="I418" t="str">
        <f>IFERROR(VLOOKUP(C418,Merchants!$A:$D,2,FALSE),"Merchant not found")</f>
        <v>Merchant_035</v>
      </c>
      <c r="J418" t="str">
        <f>IFERROR(VLOOKUP(C418,Merchants!$A:$D,3,FALSE),"Merchant not found")</f>
        <v>recharge</v>
      </c>
      <c r="K418" t="str">
        <f>IFERROR(VLOOKUP(C418,Merchants!$A:$D,4,FALSE),"Merchant not found")</f>
        <v>East</v>
      </c>
    </row>
    <row r="419" spans="1:11" x14ac:dyDescent="0.35">
      <c r="A419" t="s">
        <v>899</v>
      </c>
      <c r="B419">
        <v>242</v>
      </c>
      <c r="C419">
        <v>3</v>
      </c>
      <c r="D419" t="s">
        <v>900</v>
      </c>
      <c r="E419">
        <v>49</v>
      </c>
      <c r="F419" t="s">
        <v>68</v>
      </c>
      <c r="G419" t="s">
        <v>65</v>
      </c>
      <c r="H419">
        <v>36</v>
      </c>
      <c r="I419" t="str">
        <f>IFERROR(VLOOKUP(C419,Merchants!$A:$D,2,FALSE),"Merchant not found")</f>
        <v>Merchant_003</v>
      </c>
      <c r="J419" t="str">
        <f>IFERROR(VLOOKUP(C419,Merchants!$A:$D,3,FALSE),"Merchant not found")</f>
        <v>grocery</v>
      </c>
      <c r="K419" t="str">
        <f>IFERROR(VLOOKUP(C419,Merchants!$A:$D,4,FALSE),"Merchant not found")</f>
        <v>East</v>
      </c>
    </row>
    <row r="420" spans="1:11" x14ac:dyDescent="0.35">
      <c r="A420" t="s">
        <v>901</v>
      </c>
      <c r="B420">
        <v>70</v>
      </c>
      <c r="C420">
        <v>27</v>
      </c>
      <c r="D420" t="s">
        <v>902</v>
      </c>
      <c r="E420">
        <v>149</v>
      </c>
      <c r="F420" t="s">
        <v>68</v>
      </c>
      <c r="G420" t="s">
        <v>65</v>
      </c>
      <c r="H420">
        <v>47</v>
      </c>
      <c r="I420" t="str">
        <f>IFERROR(VLOOKUP(C420,Merchants!$A:$D,2,FALSE),"Merchant not found")</f>
        <v>Merchant_027</v>
      </c>
      <c r="J420" t="str">
        <f>IFERROR(VLOOKUP(C420,Merchants!$A:$D,3,FALSE),"Merchant not found")</f>
        <v>ecommerce</v>
      </c>
      <c r="K420" t="str">
        <f>IFERROR(VLOOKUP(C420,Merchants!$A:$D,4,FALSE),"Merchant not found")</f>
        <v>North</v>
      </c>
    </row>
    <row r="421" spans="1:11" x14ac:dyDescent="0.35">
      <c r="A421" t="s">
        <v>903</v>
      </c>
      <c r="B421">
        <v>194</v>
      </c>
      <c r="C421">
        <v>25</v>
      </c>
      <c r="D421" t="s">
        <v>904</v>
      </c>
      <c r="E421">
        <v>49</v>
      </c>
      <c r="F421" t="s">
        <v>64</v>
      </c>
      <c r="G421" t="s">
        <v>65</v>
      </c>
      <c r="H421">
        <v>10</v>
      </c>
      <c r="I421" t="str">
        <f>IFERROR(VLOOKUP(C421,Merchants!$A:$D,2,FALSE),"Merchant not found")</f>
        <v>Merchant_025</v>
      </c>
      <c r="J421" t="str">
        <f>IFERROR(VLOOKUP(C421,Merchants!$A:$D,3,FALSE),"Merchant not found")</f>
        <v>travel</v>
      </c>
      <c r="K421" t="str">
        <f>IFERROR(VLOOKUP(C421,Merchants!$A:$D,4,FALSE),"Merchant not found")</f>
        <v>South</v>
      </c>
    </row>
    <row r="422" spans="1:11" x14ac:dyDescent="0.35">
      <c r="A422" t="s">
        <v>905</v>
      </c>
      <c r="B422">
        <v>277</v>
      </c>
      <c r="C422">
        <v>9</v>
      </c>
      <c r="D422" t="s">
        <v>906</v>
      </c>
      <c r="E422">
        <v>799</v>
      </c>
      <c r="F422" t="s">
        <v>68</v>
      </c>
      <c r="G422" t="s">
        <v>65</v>
      </c>
      <c r="H422">
        <v>83</v>
      </c>
      <c r="I422" t="str">
        <f>IFERROR(VLOOKUP(C422,Merchants!$A:$D,2,FALSE),"Merchant not found")</f>
        <v>Merchant_009</v>
      </c>
      <c r="J422" t="str">
        <f>IFERROR(VLOOKUP(C422,Merchants!$A:$D,3,FALSE),"Merchant not found")</f>
        <v>ecommerce</v>
      </c>
      <c r="K422" t="str">
        <f>IFERROR(VLOOKUP(C422,Merchants!$A:$D,4,FALSE),"Merchant not found")</f>
        <v>North</v>
      </c>
    </row>
    <row r="423" spans="1:11" x14ac:dyDescent="0.35">
      <c r="A423" t="s">
        <v>907</v>
      </c>
      <c r="B423">
        <v>92</v>
      </c>
      <c r="C423">
        <v>35</v>
      </c>
      <c r="D423" t="s">
        <v>908</v>
      </c>
      <c r="E423">
        <v>49</v>
      </c>
      <c r="F423" t="s">
        <v>68</v>
      </c>
      <c r="G423" t="s">
        <v>65</v>
      </c>
      <c r="H423">
        <v>50</v>
      </c>
      <c r="I423" t="str">
        <f>IFERROR(VLOOKUP(C423,Merchants!$A:$D,2,FALSE),"Merchant not found")</f>
        <v>Merchant_035</v>
      </c>
      <c r="J423" t="str">
        <f>IFERROR(VLOOKUP(C423,Merchants!$A:$D,3,FALSE),"Merchant not found")</f>
        <v>recharge</v>
      </c>
      <c r="K423" t="str">
        <f>IFERROR(VLOOKUP(C423,Merchants!$A:$D,4,FALSE),"Merchant not found")</f>
        <v>East</v>
      </c>
    </row>
    <row r="424" spans="1:11" x14ac:dyDescent="0.35">
      <c r="A424" t="s">
        <v>909</v>
      </c>
      <c r="B424">
        <v>115</v>
      </c>
      <c r="C424">
        <v>1</v>
      </c>
      <c r="D424" t="s">
        <v>910</v>
      </c>
      <c r="E424">
        <v>149</v>
      </c>
      <c r="F424" t="s">
        <v>64</v>
      </c>
      <c r="G424" t="s">
        <v>65</v>
      </c>
      <c r="H424">
        <v>96</v>
      </c>
      <c r="I424" t="str">
        <f>IFERROR(VLOOKUP(C424,Merchants!$A:$D,2,FALSE),"Merchant not found")</f>
        <v>Merchant_001</v>
      </c>
      <c r="J424" t="str">
        <f>IFERROR(VLOOKUP(C424,Merchants!$A:$D,3,FALSE),"Merchant not found")</f>
        <v>ecommerce</v>
      </c>
      <c r="K424" t="str">
        <f>IFERROR(VLOOKUP(C424,Merchants!$A:$D,4,FALSE),"Merchant not found")</f>
        <v>South</v>
      </c>
    </row>
    <row r="425" spans="1:11" x14ac:dyDescent="0.35">
      <c r="A425" t="s">
        <v>911</v>
      </c>
      <c r="B425">
        <v>345</v>
      </c>
      <c r="C425">
        <v>35</v>
      </c>
      <c r="D425" t="s">
        <v>912</v>
      </c>
      <c r="E425">
        <v>499</v>
      </c>
      <c r="F425" t="s">
        <v>90</v>
      </c>
      <c r="G425" t="s">
        <v>65</v>
      </c>
      <c r="H425">
        <v>54</v>
      </c>
      <c r="I425" t="str">
        <f>IFERROR(VLOOKUP(C425,Merchants!$A:$D,2,FALSE),"Merchant not found")</f>
        <v>Merchant_035</v>
      </c>
      <c r="J425" t="str">
        <f>IFERROR(VLOOKUP(C425,Merchants!$A:$D,3,FALSE),"Merchant not found")</f>
        <v>recharge</v>
      </c>
      <c r="K425" t="str">
        <f>IFERROR(VLOOKUP(C425,Merchants!$A:$D,4,FALSE),"Merchant not found")</f>
        <v>East</v>
      </c>
    </row>
    <row r="426" spans="1:11" x14ac:dyDescent="0.35">
      <c r="A426" t="s">
        <v>913</v>
      </c>
      <c r="B426">
        <v>118</v>
      </c>
      <c r="C426">
        <v>16</v>
      </c>
      <c r="D426" t="s">
        <v>914</v>
      </c>
      <c r="E426">
        <v>49</v>
      </c>
      <c r="F426" t="s">
        <v>68</v>
      </c>
      <c r="G426" t="s">
        <v>65</v>
      </c>
      <c r="H426">
        <v>58</v>
      </c>
      <c r="I426" t="str">
        <f>IFERROR(VLOOKUP(C426,Merchants!$A:$D,2,FALSE),"Merchant not found")</f>
        <v>Merchant_016</v>
      </c>
      <c r="J426" t="str">
        <f>IFERROR(VLOOKUP(C426,Merchants!$A:$D,3,FALSE),"Merchant not found")</f>
        <v>bill_payment</v>
      </c>
      <c r="K426" t="str">
        <f>IFERROR(VLOOKUP(C426,Merchants!$A:$D,4,FALSE),"Merchant not found")</f>
        <v>West</v>
      </c>
    </row>
    <row r="427" spans="1:11" x14ac:dyDescent="0.35">
      <c r="A427" t="s">
        <v>915</v>
      </c>
      <c r="B427">
        <v>97</v>
      </c>
      <c r="C427">
        <v>8</v>
      </c>
      <c r="D427" t="s">
        <v>916</v>
      </c>
      <c r="E427">
        <v>99</v>
      </c>
      <c r="F427" t="s">
        <v>73</v>
      </c>
      <c r="G427" t="s">
        <v>65</v>
      </c>
      <c r="H427">
        <v>4</v>
      </c>
      <c r="I427" t="str">
        <f>IFERROR(VLOOKUP(C427,Merchants!$A:$D,2,FALSE),"Merchant not found")</f>
        <v>Merchant_008</v>
      </c>
      <c r="J427" t="str">
        <f>IFERROR(VLOOKUP(C427,Merchants!$A:$D,3,FALSE),"Merchant not found")</f>
        <v>food_delivery</v>
      </c>
      <c r="K427" t="str">
        <f>IFERROR(VLOOKUP(C427,Merchants!$A:$D,4,FALSE),"Merchant not found")</f>
        <v>North</v>
      </c>
    </row>
    <row r="428" spans="1:11" x14ac:dyDescent="0.35">
      <c r="A428" t="s">
        <v>917</v>
      </c>
      <c r="B428">
        <v>315</v>
      </c>
      <c r="C428">
        <v>2</v>
      </c>
      <c r="D428" t="s">
        <v>918</v>
      </c>
      <c r="E428">
        <v>299</v>
      </c>
      <c r="F428" t="s">
        <v>64</v>
      </c>
      <c r="G428" t="s">
        <v>65</v>
      </c>
      <c r="H428">
        <v>30</v>
      </c>
      <c r="I428" t="str">
        <f>IFERROR(VLOOKUP(C428,Merchants!$A:$D,2,FALSE),"Merchant not found")</f>
        <v>Merchant_002</v>
      </c>
      <c r="J428" t="str">
        <f>IFERROR(VLOOKUP(C428,Merchants!$A:$D,3,FALSE),"Merchant not found")</f>
        <v>grocery</v>
      </c>
      <c r="K428" t="str">
        <f>IFERROR(VLOOKUP(C428,Merchants!$A:$D,4,FALSE),"Merchant not found")</f>
        <v>West</v>
      </c>
    </row>
    <row r="429" spans="1:11" x14ac:dyDescent="0.35">
      <c r="A429" t="s">
        <v>919</v>
      </c>
      <c r="B429">
        <v>305</v>
      </c>
      <c r="C429">
        <v>3</v>
      </c>
      <c r="D429" t="s">
        <v>920</v>
      </c>
      <c r="E429">
        <v>299</v>
      </c>
      <c r="F429" t="s">
        <v>68</v>
      </c>
      <c r="G429" t="s">
        <v>65</v>
      </c>
      <c r="H429">
        <v>57</v>
      </c>
      <c r="I429" t="str">
        <f>IFERROR(VLOOKUP(C429,Merchants!$A:$D,2,FALSE),"Merchant not found")</f>
        <v>Merchant_003</v>
      </c>
      <c r="J429" t="str">
        <f>IFERROR(VLOOKUP(C429,Merchants!$A:$D,3,FALSE),"Merchant not found")</f>
        <v>grocery</v>
      </c>
      <c r="K429" t="str">
        <f>IFERROR(VLOOKUP(C429,Merchants!$A:$D,4,FALSE),"Merchant not found")</f>
        <v>East</v>
      </c>
    </row>
    <row r="430" spans="1:11" x14ac:dyDescent="0.35">
      <c r="A430" t="s">
        <v>921</v>
      </c>
      <c r="B430">
        <v>25</v>
      </c>
      <c r="C430">
        <v>16</v>
      </c>
      <c r="D430" t="s">
        <v>922</v>
      </c>
      <c r="E430">
        <v>299</v>
      </c>
      <c r="F430" t="s">
        <v>68</v>
      </c>
      <c r="G430" t="s">
        <v>65</v>
      </c>
      <c r="H430">
        <v>94</v>
      </c>
      <c r="I430" t="str">
        <f>IFERROR(VLOOKUP(C430,Merchants!$A:$D,2,FALSE),"Merchant not found")</f>
        <v>Merchant_016</v>
      </c>
      <c r="J430" t="str">
        <f>IFERROR(VLOOKUP(C430,Merchants!$A:$D,3,FALSE),"Merchant not found")</f>
        <v>bill_payment</v>
      </c>
      <c r="K430" t="str">
        <f>IFERROR(VLOOKUP(C430,Merchants!$A:$D,4,FALSE),"Merchant not found")</f>
        <v>West</v>
      </c>
    </row>
    <row r="431" spans="1:11" x14ac:dyDescent="0.35">
      <c r="A431" t="s">
        <v>923</v>
      </c>
      <c r="B431">
        <v>120</v>
      </c>
      <c r="C431">
        <v>35</v>
      </c>
      <c r="D431" t="s">
        <v>924</v>
      </c>
      <c r="E431">
        <v>49</v>
      </c>
      <c r="F431" t="s">
        <v>68</v>
      </c>
      <c r="G431" t="s">
        <v>65</v>
      </c>
      <c r="H431">
        <v>27</v>
      </c>
      <c r="I431" t="str">
        <f>IFERROR(VLOOKUP(C431,Merchants!$A:$D,2,FALSE),"Merchant not found")</f>
        <v>Merchant_035</v>
      </c>
      <c r="J431" t="str">
        <f>IFERROR(VLOOKUP(C431,Merchants!$A:$D,3,FALSE),"Merchant not found")</f>
        <v>recharge</v>
      </c>
      <c r="K431" t="str">
        <f>IFERROR(VLOOKUP(C431,Merchants!$A:$D,4,FALSE),"Merchant not found")</f>
        <v>East</v>
      </c>
    </row>
    <row r="432" spans="1:11" x14ac:dyDescent="0.35">
      <c r="A432" t="s">
        <v>925</v>
      </c>
      <c r="B432">
        <v>258</v>
      </c>
      <c r="C432">
        <v>19</v>
      </c>
      <c r="D432" t="s">
        <v>926</v>
      </c>
      <c r="E432">
        <v>49</v>
      </c>
      <c r="F432" t="s">
        <v>64</v>
      </c>
      <c r="G432" t="s">
        <v>65</v>
      </c>
      <c r="H432">
        <v>29</v>
      </c>
      <c r="I432" t="str">
        <f>IFERROR(VLOOKUP(C432,Merchants!$A:$D,2,FALSE),"Merchant not found")</f>
        <v>Merchant_019</v>
      </c>
      <c r="J432" t="str">
        <f>IFERROR(VLOOKUP(C432,Merchants!$A:$D,3,FALSE),"Merchant not found")</f>
        <v>grocery</v>
      </c>
      <c r="K432" t="str">
        <f>IFERROR(VLOOKUP(C432,Merchants!$A:$D,4,FALSE),"Merchant not found")</f>
        <v>North</v>
      </c>
    </row>
    <row r="433" spans="1:11" x14ac:dyDescent="0.35">
      <c r="A433" t="s">
        <v>927</v>
      </c>
      <c r="B433">
        <v>164</v>
      </c>
      <c r="C433">
        <v>37</v>
      </c>
      <c r="D433" t="s">
        <v>928</v>
      </c>
      <c r="E433">
        <v>799</v>
      </c>
      <c r="F433" t="s">
        <v>68</v>
      </c>
      <c r="G433" t="s">
        <v>65</v>
      </c>
      <c r="H433">
        <v>76</v>
      </c>
      <c r="I433" t="str">
        <f>IFERROR(VLOOKUP(C433,Merchants!$A:$D,2,FALSE),"Merchant not found")</f>
        <v>Merchant_037</v>
      </c>
      <c r="J433" t="str">
        <f>IFERROR(VLOOKUP(C433,Merchants!$A:$D,3,FALSE),"Merchant not found")</f>
        <v>entertainment</v>
      </c>
      <c r="K433" t="str">
        <f>IFERROR(VLOOKUP(C433,Merchants!$A:$D,4,FALSE),"Merchant not found")</f>
        <v>South</v>
      </c>
    </row>
    <row r="434" spans="1:11" x14ac:dyDescent="0.35">
      <c r="A434" t="s">
        <v>929</v>
      </c>
      <c r="B434">
        <v>165</v>
      </c>
      <c r="C434">
        <v>16</v>
      </c>
      <c r="D434" t="s">
        <v>930</v>
      </c>
      <c r="E434">
        <v>49</v>
      </c>
      <c r="F434" t="s">
        <v>64</v>
      </c>
      <c r="G434" t="s">
        <v>65</v>
      </c>
      <c r="H434">
        <v>38</v>
      </c>
      <c r="I434" t="str">
        <f>IFERROR(VLOOKUP(C434,Merchants!$A:$D,2,FALSE),"Merchant not found")</f>
        <v>Merchant_016</v>
      </c>
      <c r="J434" t="str">
        <f>IFERROR(VLOOKUP(C434,Merchants!$A:$D,3,FALSE),"Merchant not found")</f>
        <v>bill_payment</v>
      </c>
      <c r="K434" t="str">
        <f>IFERROR(VLOOKUP(C434,Merchants!$A:$D,4,FALSE),"Merchant not found")</f>
        <v>West</v>
      </c>
    </row>
    <row r="435" spans="1:11" x14ac:dyDescent="0.35">
      <c r="A435" t="s">
        <v>931</v>
      </c>
      <c r="B435">
        <v>267</v>
      </c>
      <c r="C435">
        <v>15</v>
      </c>
      <c r="D435" t="s">
        <v>932</v>
      </c>
      <c r="E435">
        <v>49</v>
      </c>
      <c r="F435" t="s">
        <v>73</v>
      </c>
      <c r="G435" t="s">
        <v>65</v>
      </c>
      <c r="H435">
        <v>52</v>
      </c>
      <c r="I435" t="str">
        <f>IFERROR(VLOOKUP(C435,Merchants!$A:$D,2,FALSE),"Merchant not found")</f>
        <v>Merchant_015</v>
      </c>
      <c r="J435" t="str">
        <f>IFERROR(VLOOKUP(C435,Merchants!$A:$D,3,FALSE),"Merchant not found")</f>
        <v>travel</v>
      </c>
      <c r="K435" t="str">
        <f>IFERROR(VLOOKUP(C435,Merchants!$A:$D,4,FALSE),"Merchant not found")</f>
        <v>North</v>
      </c>
    </row>
    <row r="436" spans="1:11" x14ac:dyDescent="0.35">
      <c r="A436" t="s">
        <v>933</v>
      </c>
      <c r="B436">
        <v>286</v>
      </c>
      <c r="C436">
        <v>38</v>
      </c>
      <c r="D436" t="s">
        <v>934</v>
      </c>
      <c r="E436">
        <v>299</v>
      </c>
      <c r="F436" t="s">
        <v>64</v>
      </c>
      <c r="G436" t="s">
        <v>65</v>
      </c>
      <c r="H436">
        <v>94</v>
      </c>
      <c r="I436" t="str">
        <f>IFERROR(VLOOKUP(C436,Merchants!$A:$D,2,FALSE),"Merchant not found")</f>
        <v>Merchant_038</v>
      </c>
      <c r="J436" t="str">
        <f>IFERROR(VLOOKUP(C436,Merchants!$A:$D,3,FALSE),"Merchant not found")</f>
        <v>grocery</v>
      </c>
      <c r="K436" t="str">
        <f>IFERROR(VLOOKUP(C436,Merchants!$A:$D,4,FALSE),"Merchant not found")</f>
        <v>East</v>
      </c>
    </row>
    <row r="437" spans="1:11" x14ac:dyDescent="0.35">
      <c r="A437" t="s">
        <v>935</v>
      </c>
      <c r="B437">
        <v>348</v>
      </c>
      <c r="C437">
        <v>28</v>
      </c>
      <c r="D437" t="s">
        <v>936</v>
      </c>
      <c r="E437">
        <v>499</v>
      </c>
      <c r="F437" t="s">
        <v>90</v>
      </c>
      <c r="G437" t="s">
        <v>65</v>
      </c>
      <c r="H437">
        <v>71</v>
      </c>
      <c r="I437" t="str">
        <f>IFERROR(VLOOKUP(C437,Merchants!$A:$D,2,FALSE),"Merchant not found")</f>
        <v>Merchant_028</v>
      </c>
      <c r="J437" t="str">
        <f>IFERROR(VLOOKUP(C437,Merchants!$A:$D,3,FALSE),"Merchant not found")</f>
        <v>ecommerce</v>
      </c>
      <c r="K437" t="str">
        <f>IFERROR(VLOOKUP(C437,Merchants!$A:$D,4,FALSE),"Merchant not found")</f>
        <v>South</v>
      </c>
    </row>
    <row r="438" spans="1:11" x14ac:dyDescent="0.35">
      <c r="A438" t="s">
        <v>937</v>
      </c>
      <c r="B438">
        <v>330</v>
      </c>
      <c r="C438">
        <v>25</v>
      </c>
      <c r="D438" t="s">
        <v>938</v>
      </c>
      <c r="E438">
        <v>799</v>
      </c>
      <c r="F438" t="s">
        <v>68</v>
      </c>
      <c r="G438" t="s">
        <v>65</v>
      </c>
      <c r="H438">
        <v>100</v>
      </c>
      <c r="I438" t="str">
        <f>IFERROR(VLOOKUP(C438,Merchants!$A:$D,2,FALSE),"Merchant not found")</f>
        <v>Merchant_025</v>
      </c>
      <c r="J438" t="str">
        <f>IFERROR(VLOOKUP(C438,Merchants!$A:$D,3,FALSE),"Merchant not found")</f>
        <v>travel</v>
      </c>
      <c r="K438" t="str">
        <f>IFERROR(VLOOKUP(C438,Merchants!$A:$D,4,FALSE),"Merchant not found")</f>
        <v>South</v>
      </c>
    </row>
    <row r="439" spans="1:11" x14ac:dyDescent="0.35">
      <c r="A439" t="s">
        <v>939</v>
      </c>
      <c r="B439">
        <v>214</v>
      </c>
      <c r="C439">
        <v>27</v>
      </c>
      <c r="D439" t="s">
        <v>940</v>
      </c>
      <c r="E439">
        <v>299</v>
      </c>
      <c r="F439" t="s">
        <v>90</v>
      </c>
      <c r="G439" t="s">
        <v>65</v>
      </c>
      <c r="H439">
        <v>19</v>
      </c>
      <c r="I439" t="str">
        <f>IFERROR(VLOOKUP(C439,Merchants!$A:$D,2,FALSE),"Merchant not found")</f>
        <v>Merchant_027</v>
      </c>
      <c r="J439" t="str">
        <f>IFERROR(VLOOKUP(C439,Merchants!$A:$D,3,FALSE),"Merchant not found")</f>
        <v>ecommerce</v>
      </c>
      <c r="K439" t="str">
        <f>IFERROR(VLOOKUP(C439,Merchants!$A:$D,4,FALSE),"Merchant not found")</f>
        <v>North</v>
      </c>
    </row>
    <row r="440" spans="1:11" x14ac:dyDescent="0.35">
      <c r="A440" t="s">
        <v>941</v>
      </c>
      <c r="B440">
        <v>276</v>
      </c>
      <c r="C440">
        <v>31</v>
      </c>
      <c r="D440" t="s">
        <v>942</v>
      </c>
      <c r="E440">
        <v>499</v>
      </c>
      <c r="F440" t="s">
        <v>68</v>
      </c>
      <c r="G440" t="s">
        <v>65</v>
      </c>
      <c r="H440">
        <v>30</v>
      </c>
      <c r="I440" t="str">
        <f>IFERROR(VLOOKUP(C440,Merchants!$A:$D,2,FALSE),"Merchant not found")</f>
        <v>Merchant_031</v>
      </c>
      <c r="J440" t="str">
        <f>IFERROR(VLOOKUP(C440,Merchants!$A:$D,3,FALSE),"Merchant not found")</f>
        <v>bill_payment</v>
      </c>
      <c r="K440" t="str">
        <f>IFERROR(VLOOKUP(C440,Merchants!$A:$D,4,FALSE),"Merchant not found")</f>
        <v>East</v>
      </c>
    </row>
    <row r="441" spans="1:11" x14ac:dyDescent="0.35">
      <c r="A441" t="s">
        <v>943</v>
      </c>
      <c r="B441">
        <v>74</v>
      </c>
      <c r="C441">
        <v>30</v>
      </c>
      <c r="D441" t="s">
        <v>944</v>
      </c>
      <c r="E441">
        <v>49</v>
      </c>
      <c r="F441" t="s">
        <v>68</v>
      </c>
      <c r="G441" t="s">
        <v>65</v>
      </c>
      <c r="H441">
        <v>7</v>
      </c>
      <c r="I441" t="str">
        <f>IFERROR(VLOOKUP(C441,Merchants!$A:$D,2,FALSE),"Merchant not found")</f>
        <v>Merchant_030</v>
      </c>
      <c r="J441" t="str">
        <f>IFERROR(VLOOKUP(C441,Merchants!$A:$D,3,FALSE),"Merchant not found")</f>
        <v>travel</v>
      </c>
      <c r="K441" t="str">
        <f>IFERROR(VLOOKUP(C441,Merchants!$A:$D,4,FALSE),"Merchant not found")</f>
        <v>West</v>
      </c>
    </row>
    <row r="442" spans="1:11" x14ac:dyDescent="0.35">
      <c r="A442" t="s">
        <v>945</v>
      </c>
      <c r="B442">
        <v>286</v>
      </c>
      <c r="C442">
        <v>34</v>
      </c>
      <c r="D442" t="s">
        <v>946</v>
      </c>
      <c r="E442">
        <v>49</v>
      </c>
      <c r="F442" t="s">
        <v>90</v>
      </c>
      <c r="G442" t="s">
        <v>65</v>
      </c>
      <c r="H442">
        <v>17</v>
      </c>
      <c r="I442" t="str">
        <f>IFERROR(VLOOKUP(C442,Merchants!$A:$D,2,FALSE),"Merchant not found")</f>
        <v>Merchant_034</v>
      </c>
      <c r="J442" t="str">
        <f>IFERROR(VLOOKUP(C442,Merchants!$A:$D,3,FALSE),"Merchant not found")</f>
        <v>travel</v>
      </c>
      <c r="K442" t="str">
        <f>IFERROR(VLOOKUP(C442,Merchants!$A:$D,4,FALSE),"Merchant not found")</f>
        <v>South</v>
      </c>
    </row>
    <row r="443" spans="1:11" x14ac:dyDescent="0.35">
      <c r="A443" t="s">
        <v>947</v>
      </c>
      <c r="B443">
        <v>105</v>
      </c>
      <c r="C443">
        <v>22</v>
      </c>
      <c r="D443" t="s">
        <v>948</v>
      </c>
      <c r="E443">
        <v>4999</v>
      </c>
      <c r="F443" t="s">
        <v>68</v>
      </c>
      <c r="G443" t="s">
        <v>65</v>
      </c>
      <c r="H443">
        <v>82</v>
      </c>
      <c r="I443" t="str">
        <f>IFERROR(VLOOKUP(C443,Merchants!$A:$D,2,FALSE),"Merchant not found")</f>
        <v>Merchant_022</v>
      </c>
      <c r="J443" t="str">
        <f>IFERROR(VLOOKUP(C443,Merchants!$A:$D,3,FALSE),"Merchant not found")</f>
        <v>travel</v>
      </c>
      <c r="K443" t="str">
        <f>IFERROR(VLOOKUP(C443,Merchants!$A:$D,4,FALSE),"Merchant not found")</f>
        <v>South</v>
      </c>
    </row>
    <row r="444" spans="1:11" x14ac:dyDescent="0.35">
      <c r="A444" t="s">
        <v>949</v>
      </c>
      <c r="B444">
        <v>190</v>
      </c>
      <c r="C444">
        <v>6</v>
      </c>
      <c r="D444" t="s">
        <v>950</v>
      </c>
      <c r="E444">
        <v>799</v>
      </c>
      <c r="F444" t="s">
        <v>64</v>
      </c>
      <c r="G444" t="s">
        <v>65</v>
      </c>
      <c r="H444">
        <v>68</v>
      </c>
      <c r="I444" t="str">
        <f>IFERROR(VLOOKUP(C444,Merchants!$A:$D,2,FALSE),"Merchant not found")</f>
        <v>Merchant_006</v>
      </c>
      <c r="J444" t="str">
        <f>IFERROR(VLOOKUP(C444,Merchants!$A:$D,3,FALSE),"Merchant not found")</f>
        <v>food_delivery</v>
      </c>
      <c r="K444" t="str">
        <f>IFERROR(VLOOKUP(C444,Merchants!$A:$D,4,FALSE),"Merchant not found")</f>
        <v>South</v>
      </c>
    </row>
    <row r="445" spans="1:11" x14ac:dyDescent="0.35">
      <c r="A445" t="s">
        <v>951</v>
      </c>
      <c r="B445">
        <v>138</v>
      </c>
      <c r="C445">
        <v>25</v>
      </c>
      <c r="D445" t="s">
        <v>952</v>
      </c>
      <c r="E445">
        <v>299</v>
      </c>
      <c r="F445" t="s">
        <v>64</v>
      </c>
      <c r="G445" t="s">
        <v>65</v>
      </c>
      <c r="H445">
        <v>86</v>
      </c>
      <c r="I445" t="str">
        <f>IFERROR(VLOOKUP(C445,Merchants!$A:$D,2,FALSE),"Merchant not found")</f>
        <v>Merchant_025</v>
      </c>
      <c r="J445" t="str">
        <f>IFERROR(VLOOKUP(C445,Merchants!$A:$D,3,FALSE),"Merchant not found")</f>
        <v>travel</v>
      </c>
      <c r="K445" t="str">
        <f>IFERROR(VLOOKUP(C445,Merchants!$A:$D,4,FALSE),"Merchant not found")</f>
        <v>South</v>
      </c>
    </row>
    <row r="446" spans="1:11" x14ac:dyDescent="0.35">
      <c r="A446" t="s">
        <v>953</v>
      </c>
      <c r="B446">
        <v>38</v>
      </c>
      <c r="C446">
        <v>13</v>
      </c>
      <c r="D446" t="s">
        <v>954</v>
      </c>
      <c r="E446">
        <v>4999</v>
      </c>
      <c r="F446" t="s">
        <v>73</v>
      </c>
      <c r="G446" t="s">
        <v>65</v>
      </c>
      <c r="H446">
        <v>97</v>
      </c>
      <c r="I446" t="str">
        <f>IFERROR(VLOOKUP(C446,Merchants!$A:$D,2,FALSE),"Merchant not found")</f>
        <v>Merchant_013</v>
      </c>
      <c r="J446" t="str">
        <f>IFERROR(VLOOKUP(C446,Merchants!$A:$D,3,FALSE),"Merchant not found")</f>
        <v>travel</v>
      </c>
      <c r="K446" t="str">
        <f>IFERROR(VLOOKUP(C446,Merchants!$A:$D,4,FALSE),"Merchant not found")</f>
        <v>East</v>
      </c>
    </row>
    <row r="447" spans="1:11" x14ac:dyDescent="0.35">
      <c r="A447" t="s">
        <v>955</v>
      </c>
      <c r="B447">
        <v>287</v>
      </c>
      <c r="C447">
        <v>14</v>
      </c>
      <c r="D447" t="s">
        <v>956</v>
      </c>
      <c r="E447">
        <v>99</v>
      </c>
      <c r="F447" t="s">
        <v>64</v>
      </c>
      <c r="G447" t="s">
        <v>65</v>
      </c>
      <c r="H447">
        <v>61</v>
      </c>
      <c r="I447" t="str">
        <f>IFERROR(VLOOKUP(C447,Merchants!$A:$D,2,FALSE),"Merchant not found")</f>
        <v>Merchant_014</v>
      </c>
      <c r="J447" t="str">
        <f>IFERROR(VLOOKUP(C447,Merchants!$A:$D,3,FALSE),"Merchant not found")</f>
        <v>grocery</v>
      </c>
      <c r="K447" t="str">
        <f>IFERROR(VLOOKUP(C447,Merchants!$A:$D,4,FALSE),"Merchant not found")</f>
        <v>East</v>
      </c>
    </row>
    <row r="448" spans="1:11" x14ac:dyDescent="0.35">
      <c r="A448" t="s">
        <v>957</v>
      </c>
      <c r="B448">
        <v>8</v>
      </c>
      <c r="C448">
        <v>14</v>
      </c>
      <c r="D448" t="s">
        <v>958</v>
      </c>
      <c r="E448">
        <v>49</v>
      </c>
      <c r="F448" t="s">
        <v>68</v>
      </c>
      <c r="G448" t="s">
        <v>65</v>
      </c>
      <c r="H448">
        <v>24</v>
      </c>
      <c r="I448" t="str">
        <f>IFERROR(VLOOKUP(C448,Merchants!$A:$D,2,FALSE),"Merchant not found")</f>
        <v>Merchant_014</v>
      </c>
      <c r="J448" t="str">
        <f>IFERROR(VLOOKUP(C448,Merchants!$A:$D,3,FALSE),"Merchant not found")</f>
        <v>grocery</v>
      </c>
      <c r="K448" t="str">
        <f>IFERROR(VLOOKUP(C448,Merchants!$A:$D,4,FALSE),"Merchant not found")</f>
        <v>East</v>
      </c>
    </row>
    <row r="449" spans="1:11" x14ac:dyDescent="0.35">
      <c r="A449" t="s">
        <v>959</v>
      </c>
      <c r="B449">
        <v>246</v>
      </c>
      <c r="C449">
        <v>16</v>
      </c>
      <c r="D449" t="s">
        <v>960</v>
      </c>
      <c r="E449">
        <v>1499</v>
      </c>
      <c r="F449" t="s">
        <v>64</v>
      </c>
      <c r="G449" t="s">
        <v>65</v>
      </c>
      <c r="H449">
        <v>89</v>
      </c>
      <c r="I449" t="str">
        <f>IFERROR(VLOOKUP(C449,Merchants!$A:$D,2,FALSE),"Merchant not found")</f>
        <v>Merchant_016</v>
      </c>
      <c r="J449" t="str">
        <f>IFERROR(VLOOKUP(C449,Merchants!$A:$D,3,FALSE),"Merchant not found")</f>
        <v>bill_payment</v>
      </c>
      <c r="K449" t="str">
        <f>IFERROR(VLOOKUP(C449,Merchants!$A:$D,4,FALSE),"Merchant not found")</f>
        <v>West</v>
      </c>
    </row>
    <row r="450" spans="1:11" x14ac:dyDescent="0.35">
      <c r="A450" t="s">
        <v>961</v>
      </c>
      <c r="B450">
        <v>204</v>
      </c>
      <c r="C450">
        <v>16</v>
      </c>
      <c r="D450" t="s">
        <v>962</v>
      </c>
      <c r="E450">
        <v>149</v>
      </c>
      <c r="F450" t="s">
        <v>68</v>
      </c>
      <c r="G450" t="s">
        <v>65</v>
      </c>
      <c r="H450">
        <v>70</v>
      </c>
      <c r="I450" t="str">
        <f>IFERROR(VLOOKUP(C450,Merchants!$A:$D,2,FALSE),"Merchant not found")</f>
        <v>Merchant_016</v>
      </c>
      <c r="J450" t="str">
        <f>IFERROR(VLOOKUP(C450,Merchants!$A:$D,3,FALSE),"Merchant not found")</f>
        <v>bill_payment</v>
      </c>
      <c r="K450" t="str">
        <f>IFERROR(VLOOKUP(C450,Merchants!$A:$D,4,FALSE),"Merchant not found")</f>
        <v>West</v>
      </c>
    </row>
    <row r="451" spans="1:11" x14ac:dyDescent="0.35">
      <c r="A451" t="s">
        <v>963</v>
      </c>
      <c r="B451">
        <v>239</v>
      </c>
      <c r="C451">
        <v>35</v>
      </c>
      <c r="D451" t="s">
        <v>964</v>
      </c>
      <c r="E451">
        <v>4999</v>
      </c>
      <c r="F451" t="s">
        <v>68</v>
      </c>
      <c r="G451" t="s">
        <v>65</v>
      </c>
      <c r="H451">
        <v>83</v>
      </c>
      <c r="I451" t="str">
        <f>IFERROR(VLOOKUP(C451,Merchants!$A:$D,2,FALSE),"Merchant not found")</f>
        <v>Merchant_035</v>
      </c>
      <c r="J451" t="str">
        <f>IFERROR(VLOOKUP(C451,Merchants!$A:$D,3,FALSE),"Merchant not found")</f>
        <v>recharge</v>
      </c>
      <c r="K451" t="str">
        <f>IFERROR(VLOOKUP(C451,Merchants!$A:$D,4,FALSE),"Merchant not found")</f>
        <v>East</v>
      </c>
    </row>
    <row r="452" spans="1:11" x14ac:dyDescent="0.35">
      <c r="A452" t="s">
        <v>965</v>
      </c>
      <c r="B452">
        <v>185</v>
      </c>
      <c r="C452">
        <v>33</v>
      </c>
      <c r="D452" t="s">
        <v>966</v>
      </c>
      <c r="E452">
        <v>299</v>
      </c>
      <c r="F452" t="s">
        <v>68</v>
      </c>
      <c r="G452" t="s">
        <v>65</v>
      </c>
      <c r="H452">
        <v>63</v>
      </c>
      <c r="I452" t="str">
        <f>IFERROR(VLOOKUP(C452,Merchants!$A:$D,2,FALSE),"Merchant not found")</f>
        <v>Merchant_033</v>
      </c>
      <c r="J452" t="str">
        <f>IFERROR(VLOOKUP(C452,Merchants!$A:$D,3,FALSE),"Merchant not found")</f>
        <v>bill_payment</v>
      </c>
      <c r="K452" t="str">
        <f>IFERROR(VLOOKUP(C452,Merchants!$A:$D,4,FALSE),"Merchant not found")</f>
        <v>East</v>
      </c>
    </row>
    <row r="453" spans="1:11" x14ac:dyDescent="0.35">
      <c r="A453" t="s">
        <v>967</v>
      </c>
      <c r="B453">
        <v>241</v>
      </c>
      <c r="C453">
        <v>21</v>
      </c>
      <c r="D453" t="s">
        <v>968</v>
      </c>
      <c r="E453">
        <v>299</v>
      </c>
      <c r="F453" t="s">
        <v>90</v>
      </c>
      <c r="G453" t="s">
        <v>65</v>
      </c>
      <c r="H453">
        <v>26</v>
      </c>
      <c r="I453" t="str">
        <f>IFERROR(VLOOKUP(C453,Merchants!$A:$D,2,FALSE),"Merchant not found")</f>
        <v>Merchant_021</v>
      </c>
      <c r="J453" t="str">
        <f>IFERROR(VLOOKUP(C453,Merchants!$A:$D,3,FALSE),"Merchant not found")</f>
        <v>food_delivery</v>
      </c>
      <c r="K453" t="str">
        <f>IFERROR(VLOOKUP(C453,Merchants!$A:$D,4,FALSE),"Merchant not found")</f>
        <v>East</v>
      </c>
    </row>
    <row r="454" spans="1:11" x14ac:dyDescent="0.35">
      <c r="A454" t="s">
        <v>969</v>
      </c>
      <c r="B454">
        <v>24</v>
      </c>
      <c r="C454">
        <v>37</v>
      </c>
      <c r="D454" t="s">
        <v>970</v>
      </c>
      <c r="E454">
        <v>149</v>
      </c>
      <c r="F454" t="s">
        <v>68</v>
      </c>
      <c r="G454" t="s">
        <v>65</v>
      </c>
      <c r="H454">
        <v>28</v>
      </c>
      <c r="I454" t="str">
        <f>IFERROR(VLOOKUP(C454,Merchants!$A:$D,2,FALSE),"Merchant not found")</f>
        <v>Merchant_037</v>
      </c>
      <c r="J454" t="str">
        <f>IFERROR(VLOOKUP(C454,Merchants!$A:$D,3,FALSE),"Merchant not found")</f>
        <v>entertainment</v>
      </c>
      <c r="K454" t="str">
        <f>IFERROR(VLOOKUP(C454,Merchants!$A:$D,4,FALSE),"Merchant not found")</f>
        <v>South</v>
      </c>
    </row>
    <row r="455" spans="1:11" x14ac:dyDescent="0.35">
      <c r="A455" t="s">
        <v>971</v>
      </c>
      <c r="B455">
        <v>134</v>
      </c>
      <c r="C455">
        <v>36</v>
      </c>
      <c r="D455" t="s">
        <v>972</v>
      </c>
      <c r="E455">
        <v>1499</v>
      </c>
      <c r="F455" t="s">
        <v>68</v>
      </c>
      <c r="G455" t="s">
        <v>65</v>
      </c>
      <c r="H455">
        <v>74</v>
      </c>
      <c r="I455" t="str">
        <f>IFERROR(VLOOKUP(C455,Merchants!$A:$D,2,FALSE),"Merchant not found")</f>
        <v>Merchant_036</v>
      </c>
      <c r="J455" t="str">
        <f>IFERROR(VLOOKUP(C455,Merchants!$A:$D,3,FALSE),"Merchant not found")</f>
        <v>entertainment</v>
      </c>
      <c r="K455" t="str">
        <f>IFERROR(VLOOKUP(C455,Merchants!$A:$D,4,FALSE),"Merchant not found")</f>
        <v>East</v>
      </c>
    </row>
    <row r="456" spans="1:11" x14ac:dyDescent="0.35">
      <c r="A456" t="s">
        <v>973</v>
      </c>
      <c r="B456">
        <v>152</v>
      </c>
      <c r="C456">
        <v>10</v>
      </c>
      <c r="D456" t="s">
        <v>974</v>
      </c>
      <c r="E456">
        <v>499</v>
      </c>
      <c r="F456" t="s">
        <v>64</v>
      </c>
      <c r="G456" t="s">
        <v>65</v>
      </c>
      <c r="H456">
        <v>25</v>
      </c>
      <c r="I456" t="str">
        <f>IFERROR(VLOOKUP(C456,Merchants!$A:$D,2,FALSE),"Merchant not found")</f>
        <v>Merchant_010</v>
      </c>
      <c r="J456" t="str">
        <f>IFERROR(VLOOKUP(C456,Merchants!$A:$D,3,FALSE),"Merchant not found")</f>
        <v>grocery</v>
      </c>
      <c r="K456" t="str">
        <f>IFERROR(VLOOKUP(C456,Merchants!$A:$D,4,FALSE),"Merchant not found")</f>
        <v>West</v>
      </c>
    </row>
    <row r="457" spans="1:11" x14ac:dyDescent="0.35">
      <c r="A457" t="s">
        <v>975</v>
      </c>
      <c r="B457">
        <v>292</v>
      </c>
      <c r="C457">
        <v>16</v>
      </c>
      <c r="D457" t="s">
        <v>976</v>
      </c>
      <c r="E457">
        <v>499</v>
      </c>
      <c r="F457" t="s">
        <v>73</v>
      </c>
      <c r="G457" t="s">
        <v>65</v>
      </c>
      <c r="H457">
        <v>63</v>
      </c>
      <c r="I457" t="str">
        <f>IFERROR(VLOOKUP(C457,Merchants!$A:$D,2,FALSE),"Merchant not found")</f>
        <v>Merchant_016</v>
      </c>
      <c r="J457" t="str">
        <f>IFERROR(VLOOKUP(C457,Merchants!$A:$D,3,FALSE),"Merchant not found")</f>
        <v>bill_payment</v>
      </c>
      <c r="K457" t="str">
        <f>IFERROR(VLOOKUP(C457,Merchants!$A:$D,4,FALSE),"Merchant not found")</f>
        <v>West</v>
      </c>
    </row>
    <row r="458" spans="1:11" x14ac:dyDescent="0.35">
      <c r="A458" t="s">
        <v>977</v>
      </c>
      <c r="B458">
        <v>173</v>
      </c>
      <c r="C458">
        <v>17</v>
      </c>
      <c r="D458" t="s">
        <v>978</v>
      </c>
      <c r="E458">
        <v>99</v>
      </c>
      <c r="F458" t="s">
        <v>73</v>
      </c>
      <c r="G458" t="s">
        <v>65</v>
      </c>
      <c r="H458">
        <v>97</v>
      </c>
      <c r="I458" t="str">
        <f>IFERROR(VLOOKUP(C458,Merchants!$A:$D,2,FALSE),"Merchant not found")</f>
        <v>Merchant_017</v>
      </c>
      <c r="J458" t="str">
        <f>IFERROR(VLOOKUP(C458,Merchants!$A:$D,3,FALSE),"Merchant not found")</f>
        <v>grocery</v>
      </c>
      <c r="K458" t="str">
        <f>IFERROR(VLOOKUP(C458,Merchants!$A:$D,4,FALSE),"Merchant not found")</f>
        <v>North</v>
      </c>
    </row>
    <row r="459" spans="1:11" x14ac:dyDescent="0.35">
      <c r="A459" t="s">
        <v>979</v>
      </c>
      <c r="B459">
        <v>329</v>
      </c>
      <c r="C459">
        <v>32</v>
      </c>
      <c r="D459" t="s">
        <v>980</v>
      </c>
      <c r="E459">
        <v>1499</v>
      </c>
      <c r="F459" t="s">
        <v>68</v>
      </c>
      <c r="G459" t="s">
        <v>65</v>
      </c>
      <c r="H459">
        <v>58</v>
      </c>
      <c r="I459" t="str">
        <f>IFERROR(VLOOKUP(C459,Merchants!$A:$D,2,FALSE),"Merchant not found")</f>
        <v>Merchant_032</v>
      </c>
      <c r="J459" t="str">
        <f>IFERROR(VLOOKUP(C459,Merchants!$A:$D,3,FALSE),"Merchant not found")</f>
        <v>food_delivery</v>
      </c>
      <c r="K459" t="str">
        <f>IFERROR(VLOOKUP(C459,Merchants!$A:$D,4,FALSE),"Merchant not found")</f>
        <v>West</v>
      </c>
    </row>
    <row r="460" spans="1:11" x14ac:dyDescent="0.35">
      <c r="A460" t="s">
        <v>981</v>
      </c>
      <c r="B460">
        <v>181</v>
      </c>
      <c r="C460">
        <v>11</v>
      </c>
      <c r="D460" t="s">
        <v>982</v>
      </c>
      <c r="E460">
        <v>1499</v>
      </c>
      <c r="F460" t="s">
        <v>68</v>
      </c>
      <c r="G460" t="s">
        <v>65</v>
      </c>
      <c r="H460">
        <v>17</v>
      </c>
      <c r="I460" t="str">
        <f>IFERROR(VLOOKUP(C460,Merchants!$A:$D,2,FALSE),"Merchant not found")</f>
        <v>Merchant_011</v>
      </c>
      <c r="J460" t="str">
        <f>IFERROR(VLOOKUP(C460,Merchants!$A:$D,3,FALSE),"Merchant not found")</f>
        <v>ecommerce</v>
      </c>
      <c r="K460" t="str">
        <f>IFERROR(VLOOKUP(C460,Merchants!$A:$D,4,FALSE),"Merchant not found")</f>
        <v>North</v>
      </c>
    </row>
    <row r="461" spans="1:11" x14ac:dyDescent="0.35">
      <c r="A461" t="s">
        <v>983</v>
      </c>
      <c r="B461">
        <v>95</v>
      </c>
      <c r="C461">
        <v>35</v>
      </c>
      <c r="D461" t="s">
        <v>984</v>
      </c>
      <c r="E461">
        <v>149</v>
      </c>
      <c r="F461" t="s">
        <v>64</v>
      </c>
      <c r="G461" t="s">
        <v>65</v>
      </c>
      <c r="H461">
        <v>82</v>
      </c>
      <c r="I461" t="str">
        <f>IFERROR(VLOOKUP(C461,Merchants!$A:$D,2,FALSE),"Merchant not found")</f>
        <v>Merchant_035</v>
      </c>
      <c r="J461" t="str">
        <f>IFERROR(VLOOKUP(C461,Merchants!$A:$D,3,FALSE),"Merchant not found")</f>
        <v>recharge</v>
      </c>
      <c r="K461" t="str">
        <f>IFERROR(VLOOKUP(C461,Merchants!$A:$D,4,FALSE),"Merchant not found")</f>
        <v>East</v>
      </c>
    </row>
    <row r="462" spans="1:11" x14ac:dyDescent="0.35">
      <c r="A462" t="s">
        <v>985</v>
      </c>
      <c r="B462">
        <v>39</v>
      </c>
      <c r="C462">
        <v>4</v>
      </c>
      <c r="D462" t="s">
        <v>986</v>
      </c>
      <c r="E462">
        <v>149</v>
      </c>
      <c r="F462" t="s">
        <v>73</v>
      </c>
      <c r="G462" t="s">
        <v>65</v>
      </c>
      <c r="H462">
        <v>97</v>
      </c>
      <c r="I462" t="str">
        <f>IFERROR(VLOOKUP(C462,Merchants!$A:$D,2,FALSE),"Merchant not found")</f>
        <v>Merchant_004</v>
      </c>
      <c r="J462" t="str">
        <f>IFERROR(VLOOKUP(C462,Merchants!$A:$D,3,FALSE),"Merchant not found")</f>
        <v>ecommerce</v>
      </c>
      <c r="K462" t="str">
        <f>IFERROR(VLOOKUP(C462,Merchants!$A:$D,4,FALSE),"Merchant not found")</f>
        <v>East</v>
      </c>
    </row>
    <row r="463" spans="1:11" x14ac:dyDescent="0.35">
      <c r="A463" t="s">
        <v>987</v>
      </c>
      <c r="B463">
        <v>323</v>
      </c>
      <c r="C463">
        <v>15</v>
      </c>
      <c r="D463" t="s">
        <v>988</v>
      </c>
      <c r="E463">
        <v>499</v>
      </c>
      <c r="F463" t="s">
        <v>68</v>
      </c>
      <c r="G463" t="s">
        <v>65</v>
      </c>
      <c r="H463">
        <v>8</v>
      </c>
      <c r="I463" t="str">
        <f>IFERROR(VLOOKUP(C463,Merchants!$A:$D,2,FALSE),"Merchant not found")</f>
        <v>Merchant_015</v>
      </c>
      <c r="J463" t="str">
        <f>IFERROR(VLOOKUP(C463,Merchants!$A:$D,3,FALSE),"Merchant not found")</f>
        <v>travel</v>
      </c>
      <c r="K463" t="str">
        <f>IFERROR(VLOOKUP(C463,Merchants!$A:$D,4,FALSE),"Merchant not found")</f>
        <v>North</v>
      </c>
    </row>
    <row r="464" spans="1:11" x14ac:dyDescent="0.35">
      <c r="A464" t="s">
        <v>989</v>
      </c>
      <c r="B464">
        <v>112</v>
      </c>
      <c r="C464">
        <v>33</v>
      </c>
      <c r="D464" t="s">
        <v>990</v>
      </c>
      <c r="E464">
        <v>49</v>
      </c>
      <c r="F464" t="s">
        <v>73</v>
      </c>
      <c r="G464" t="s">
        <v>65</v>
      </c>
      <c r="H464">
        <v>58</v>
      </c>
      <c r="I464" t="str">
        <f>IFERROR(VLOOKUP(C464,Merchants!$A:$D,2,FALSE),"Merchant not found")</f>
        <v>Merchant_033</v>
      </c>
      <c r="J464" t="str">
        <f>IFERROR(VLOOKUP(C464,Merchants!$A:$D,3,FALSE),"Merchant not found")</f>
        <v>bill_payment</v>
      </c>
      <c r="K464" t="str">
        <f>IFERROR(VLOOKUP(C464,Merchants!$A:$D,4,FALSE),"Merchant not found")</f>
        <v>East</v>
      </c>
    </row>
    <row r="465" spans="1:11" x14ac:dyDescent="0.35">
      <c r="A465" t="s">
        <v>991</v>
      </c>
      <c r="B465">
        <v>327</v>
      </c>
      <c r="C465">
        <v>40</v>
      </c>
      <c r="D465" t="s">
        <v>992</v>
      </c>
      <c r="E465">
        <v>99</v>
      </c>
      <c r="F465" t="s">
        <v>68</v>
      </c>
      <c r="G465" t="s">
        <v>65</v>
      </c>
      <c r="H465">
        <v>61</v>
      </c>
      <c r="I465" t="str">
        <f>IFERROR(VLOOKUP(C465,Merchants!$A:$D,2,FALSE),"Merchant not found")</f>
        <v>Merchant_040</v>
      </c>
      <c r="J465" t="str">
        <f>IFERROR(VLOOKUP(C465,Merchants!$A:$D,3,FALSE),"Merchant not found")</f>
        <v>entertainment</v>
      </c>
      <c r="K465" t="str">
        <f>IFERROR(VLOOKUP(C465,Merchants!$A:$D,4,FALSE),"Merchant not found")</f>
        <v>South</v>
      </c>
    </row>
    <row r="466" spans="1:11" x14ac:dyDescent="0.35">
      <c r="A466" t="s">
        <v>993</v>
      </c>
      <c r="B466">
        <v>4</v>
      </c>
      <c r="C466">
        <v>35</v>
      </c>
      <c r="D466" t="s">
        <v>994</v>
      </c>
      <c r="E466">
        <v>299</v>
      </c>
      <c r="F466" t="s">
        <v>68</v>
      </c>
      <c r="G466" t="s">
        <v>65</v>
      </c>
      <c r="H466">
        <v>70</v>
      </c>
      <c r="I466" t="str">
        <f>IFERROR(VLOOKUP(C466,Merchants!$A:$D,2,FALSE),"Merchant not found")</f>
        <v>Merchant_035</v>
      </c>
      <c r="J466" t="str">
        <f>IFERROR(VLOOKUP(C466,Merchants!$A:$D,3,FALSE),"Merchant not found")</f>
        <v>recharge</v>
      </c>
      <c r="K466" t="str">
        <f>IFERROR(VLOOKUP(C466,Merchants!$A:$D,4,FALSE),"Merchant not found")</f>
        <v>East</v>
      </c>
    </row>
    <row r="467" spans="1:11" x14ac:dyDescent="0.35">
      <c r="A467" t="s">
        <v>995</v>
      </c>
      <c r="B467">
        <v>272</v>
      </c>
      <c r="C467">
        <v>18</v>
      </c>
      <c r="D467" t="s">
        <v>996</v>
      </c>
      <c r="E467">
        <v>149</v>
      </c>
      <c r="F467" t="s">
        <v>68</v>
      </c>
      <c r="G467" t="s">
        <v>65</v>
      </c>
      <c r="H467">
        <v>68</v>
      </c>
      <c r="I467" t="str">
        <f>IFERROR(VLOOKUP(C467,Merchants!$A:$D,2,FALSE),"Merchant not found")</f>
        <v>Merchant_018</v>
      </c>
      <c r="J467" t="str">
        <f>IFERROR(VLOOKUP(C467,Merchants!$A:$D,3,FALSE),"Merchant not found")</f>
        <v>grocery</v>
      </c>
      <c r="K467" t="str">
        <f>IFERROR(VLOOKUP(C467,Merchants!$A:$D,4,FALSE),"Merchant not found")</f>
        <v>West</v>
      </c>
    </row>
    <row r="468" spans="1:11" x14ac:dyDescent="0.35">
      <c r="A468" t="s">
        <v>997</v>
      </c>
      <c r="B468">
        <v>346</v>
      </c>
      <c r="C468">
        <v>28</v>
      </c>
      <c r="D468" t="s">
        <v>998</v>
      </c>
      <c r="E468">
        <v>499</v>
      </c>
      <c r="F468" t="s">
        <v>68</v>
      </c>
      <c r="G468" t="s">
        <v>65</v>
      </c>
      <c r="H468">
        <v>22</v>
      </c>
      <c r="I468" t="str">
        <f>IFERROR(VLOOKUP(C468,Merchants!$A:$D,2,FALSE),"Merchant not found")</f>
        <v>Merchant_028</v>
      </c>
      <c r="J468" t="str">
        <f>IFERROR(VLOOKUP(C468,Merchants!$A:$D,3,FALSE),"Merchant not found")</f>
        <v>ecommerce</v>
      </c>
      <c r="K468" t="str">
        <f>IFERROR(VLOOKUP(C468,Merchants!$A:$D,4,FALSE),"Merchant not found")</f>
        <v>South</v>
      </c>
    </row>
    <row r="469" spans="1:11" x14ac:dyDescent="0.35">
      <c r="A469" t="s">
        <v>999</v>
      </c>
      <c r="B469">
        <v>77</v>
      </c>
      <c r="C469">
        <v>16</v>
      </c>
      <c r="D469" t="s">
        <v>1000</v>
      </c>
      <c r="E469">
        <v>49</v>
      </c>
      <c r="F469" t="s">
        <v>64</v>
      </c>
      <c r="G469" t="s">
        <v>65</v>
      </c>
      <c r="H469">
        <v>24</v>
      </c>
      <c r="I469" t="str">
        <f>IFERROR(VLOOKUP(C469,Merchants!$A:$D,2,FALSE),"Merchant not found")</f>
        <v>Merchant_016</v>
      </c>
      <c r="J469" t="str">
        <f>IFERROR(VLOOKUP(C469,Merchants!$A:$D,3,FALSE),"Merchant not found")</f>
        <v>bill_payment</v>
      </c>
      <c r="K469" t="str">
        <f>IFERROR(VLOOKUP(C469,Merchants!$A:$D,4,FALSE),"Merchant not found")</f>
        <v>West</v>
      </c>
    </row>
    <row r="470" spans="1:11" x14ac:dyDescent="0.35">
      <c r="A470" t="s">
        <v>1001</v>
      </c>
      <c r="B470">
        <v>182</v>
      </c>
      <c r="C470">
        <v>18</v>
      </c>
      <c r="D470" t="s">
        <v>1002</v>
      </c>
      <c r="E470">
        <v>149</v>
      </c>
      <c r="F470" t="s">
        <v>90</v>
      </c>
      <c r="G470" t="s">
        <v>65</v>
      </c>
      <c r="H470">
        <v>50</v>
      </c>
      <c r="I470" t="str">
        <f>IFERROR(VLOOKUP(C470,Merchants!$A:$D,2,FALSE),"Merchant not found")</f>
        <v>Merchant_018</v>
      </c>
      <c r="J470" t="str">
        <f>IFERROR(VLOOKUP(C470,Merchants!$A:$D,3,FALSE),"Merchant not found")</f>
        <v>grocery</v>
      </c>
      <c r="K470" t="str">
        <f>IFERROR(VLOOKUP(C470,Merchants!$A:$D,4,FALSE),"Merchant not found")</f>
        <v>West</v>
      </c>
    </row>
    <row r="471" spans="1:11" x14ac:dyDescent="0.35">
      <c r="A471" t="s">
        <v>1003</v>
      </c>
      <c r="B471">
        <v>236</v>
      </c>
      <c r="C471">
        <v>37</v>
      </c>
      <c r="D471" t="s">
        <v>1004</v>
      </c>
      <c r="E471">
        <v>299</v>
      </c>
      <c r="F471" t="s">
        <v>90</v>
      </c>
      <c r="G471" t="s">
        <v>65</v>
      </c>
      <c r="H471">
        <v>31</v>
      </c>
      <c r="I471" t="str">
        <f>IFERROR(VLOOKUP(C471,Merchants!$A:$D,2,FALSE),"Merchant not found")</f>
        <v>Merchant_037</v>
      </c>
      <c r="J471" t="str">
        <f>IFERROR(VLOOKUP(C471,Merchants!$A:$D,3,FALSE),"Merchant not found")</f>
        <v>entertainment</v>
      </c>
      <c r="K471" t="str">
        <f>IFERROR(VLOOKUP(C471,Merchants!$A:$D,4,FALSE),"Merchant not found")</f>
        <v>South</v>
      </c>
    </row>
    <row r="472" spans="1:11" x14ac:dyDescent="0.35">
      <c r="A472" t="s">
        <v>1005</v>
      </c>
      <c r="B472">
        <v>42</v>
      </c>
      <c r="C472">
        <v>3</v>
      </c>
      <c r="D472" t="s">
        <v>222</v>
      </c>
      <c r="E472">
        <v>49</v>
      </c>
      <c r="F472" t="s">
        <v>68</v>
      </c>
      <c r="G472" t="s">
        <v>65</v>
      </c>
      <c r="H472">
        <v>11</v>
      </c>
      <c r="I472" t="str">
        <f>IFERROR(VLOOKUP(C472,Merchants!$A:$D,2,FALSE),"Merchant not found")</f>
        <v>Merchant_003</v>
      </c>
      <c r="J472" t="str">
        <f>IFERROR(VLOOKUP(C472,Merchants!$A:$D,3,FALSE),"Merchant not found")</f>
        <v>grocery</v>
      </c>
      <c r="K472" t="str">
        <f>IFERROR(VLOOKUP(C472,Merchants!$A:$D,4,FALSE),"Merchant not found")</f>
        <v>East</v>
      </c>
    </row>
    <row r="473" spans="1:11" x14ac:dyDescent="0.35">
      <c r="A473" t="s">
        <v>1006</v>
      </c>
      <c r="B473">
        <v>283</v>
      </c>
      <c r="C473">
        <v>31</v>
      </c>
      <c r="D473" t="s">
        <v>1007</v>
      </c>
      <c r="E473">
        <v>299</v>
      </c>
      <c r="F473" t="s">
        <v>73</v>
      </c>
      <c r="G473" t="s">
        <v>65</v>
      </c>
      <c r="H473">
        <v>7</v>
      </c>
      <c r="I473" t="str">
        <f>IFERROR(VLOOKUP(C473,Merchants!$A:$D,2,FALSE),"Merchant not found")</f>
        <v>Merchant_031</v>
      </c>
      <c r="J473" t="str">
        <f>IFERROR(VLOOKUP(C473,Merchants!$A:$D,3,FALSE),"Merchant not found")</f>
        <v>bill_payment</v>
      </c>
      <c r="K473" t="str">
        <f>IFERROR(VLOOKUP(C473,Merchants!$A:$D,4,FALSE),"Merchant not found")</f>
        <v>East</v>
      </c>
    </row>
    <row r="474" spans="1:11" x14ac:dyDescent="0.35">
      <c r="A474" t="s">
        <v>1008</v>
      </c>
      <c r="B474">
        <v>88</v>
      </c>
      <c r="C474">
        <v>6</v>
      </c>
      <c r="D474" t="s">
        <v>1009</v>
      </c>
      <c r="E474">
        <v>49</v>
      </c>
      <c r="F474" t="s">
        <v>68</v>
      </c>
      <c r="G474" t="s">
        <v>65</v>
      </c>
      <c r="H474">
        <v>63</v>
      </c>
      <c r="I474" t="str">
        <f>IFERROR(VLOOKUP(C474,Merchants!$A:$D,2,FALSE),"Merchant not found")</f>
        <v>Merchant_006</v>
      </c>
      <c r="J474" t="str">
        <f>IFERROR(VLOOKUP(C474,Merchants!$A:$D,3,FALSE),"Merchant not found")</f>
        <v>food_delivery</v>
      </c>
      <c r="K474" t="str">
        <f>IFERROR(VLOOKUP(C474,Merchants!$A:$D,4,FALSE),"Merchant not found")</f>
        <v>South</v>
      </c>
    </row>
    <row r="475" spans="1:11" x14ac:dyDescent="0.35">
      <c r="A475" t="s">
        <v>1010</v>
      </c>
      <c r="B475">
        <v>170</v>
      </c>
      <c r="C475">
        <v>37</v>
      </c>
      <c r="D475" t="s">
        <v>1011</v>
      </c>
      <c r="E475">
        <v>99</v>
      </c>
      <c r="F475" t="s">
        <v>68</v>
      </c>
      <c r="G475" t="s">
        <v>91</v>
      </c>
      <c r="H475">
        <v>12</v>
      </c>
      <c r="I475" t="str">
        <f>IFERROR(VLOOKUP(C475,Merchants!$A:$D,2,FALSE),"Merchant not found")</f>
        <v>Merchant_037</v>
      </c>
      <c r="J475" t="str">
        <f>IFERROR(VLOOKUP(C475,Merchants!$A:$D,3,FALSE),"Merchant not found")</f>
        <v>entertainment</v>
      </c>
      <c r="K475" t="str">
        <f>IFERROR(VLOOKUP(C475,Merchants!$A:$D,4,FALSE),"Merchant not found")</f>
        <v>South</v>
      </c>
    </row>
    <row r="476" spans="1:11" x14ac:dyDescent="0.35">
      <c r="A476" t="s">
        <v>1012</v>
      </c>
      <c r="B476">
        <v>22</v>
      </c>
      <c r="C476">
        <v>15</v>
      </c>
      <c r="D476" t="s">
        <v>1013</v>
      </c>
      <c r="E476">
        <v>49</v>
      </c>
      <c r="F476" t="s">
        <v>73</v>
      </c>
      <c r="G476" t="s">
        <v>65</v>
      </c>
      <c r="H476">
        <v>27</v>
      </c>
      <c r="I476" t="str">
        <f>IFERROR(VLOOKUP(C476,Merchants!$A:$D,2,FALSE),"Merchant not found")</f>
        <v>Merchant_015</v>
      </c>
      <c r="J476" t="str">
        <f>IFERROR(VLOOKUP(C476,Merchants!$A:$D,3,FALSE),"Merchant not found")</f>
        <v>travel</v>
      </c>
      <c r="K476" t="str">
        <f>IFERROR(VLOOKUP(C476,Merchants!$A:$D,4,FALSE),"Merchant not found")</f>
        <v>North</v>
      </c>
    </row>
    <row r="477" spans="1:11" x14ac:dyDescent="0.35">
      <c r="A477" t="s">
        <v>1014</v>
      </c>
      <c r="B477">
        <v>291</v>
      </c>
      <c r="C477">
        <v>31</v>
      </c>
      <c r="D477" t="s">
        <v>1015</v>
      </c>
      <c r="E477">
        <v>49</v>
      </c>
      <c r="F477" t="s">
        <v>73</v>
      </c>
      <c r="G477" t="s">
        <v>91</v>
      </c>
      <c r="H477">
        <v>34</v>
      </c>
      <c r="I477" t="str">
        <f>IFERROR(VLOOKUP(C477,Merchants!$A:$D,2,FALSE),"Merchant not found")</f>
        <v>Merchant_031</v>
      </c>
      <c r="J477" t="str">
        <f>IFERROR(VLOOKUP(C477,Merchants!$A:$D,3,FALSE),"Merchant not found")</f>
        <v>bill_payment</v>
      </c>
      <c r="K477" t="str">
        <f>IFERROR(VLOOKUP(C477,Merchants!$A:$D,4,FALSE),"Merchant not found")</f>
        <v>East</v>
      </c>
    </row>
    <row r="478" spans="1:11" x14ac:dyDescent="0.35">
      <c r="A478" t="s">
        <v>1016</v>
      </c>
      <c r="B478">
        <v>144</v>
      </c>
      <c r="C478">
        <v>35</v>
      </c>
      <c r="D478" t="s">
        <v>1017</v>
      </c>
      <c r="E478">
        <v>1499</v>
      </c>
      <c r="F478" t="s">
        <v>68</v>
      </c>
      <c r="G478" t="s">
        <v>65</v>
      </c>
      <c r="H478">
        <v>72</v>
      </c>
      <c r="I478" t="str">
        <f>IFERROR(VLOOKUP(C478,Merchants!$A:$D,2,FALSE),"Merchant not found")</f>
        <v>Merchant_035</v>
      </c>
      <c r="J478" t="str">
        <f>IFERROR(VLOOKUP(C478,Merchants!$A:$D,3,FALSE),"Merchant not found")</f>
        <v>recharge</v>
      </c>
      <c r="K478" t="str">
        <f>IFERROR(VLOOKUP(C478,Merchants!$A:$D,4,FALSE),"Merchant not found")</f>
        <v>East</v>
      </c>
    </row>
    <row r="479" spans="1:11" x14ac:dyDescent="0.35">
      <c r="A479" t="s">
        <v>1018</v>
      </c>
      <c r="B479">
        <v>162</v>
      </c>
      <c r="C479">
        <v>2</v>
      </c>
      <c r="D479" t="s">
        <v>1019</v>
      </c>
      <c r="E479">
        <v>299</v>
      </c>
      <c r="F479" t="s">
        <v>64</v>
      </c>
      <c r="G479" t="s">
        <v>65</v>
      </c>
      <c r="H479">
        <v>26</v>
      </c>
      <c r="I479" t="str">
        <f>IFERROR(VLOOKUP(C479,Merchants!$A:$D,2,FALSE),"Merchant not found")</f>
        <v>Merchant_002</v>
      </c>
      <c r="J479" t="str">
        <f>IFERROR(VLOOKUP(C479,Merchants!$A:$D,3,FALSE),"Merchant not found")</f>
        <v>grocery</v>
      </c>
      <c r="K479" t="str">
        <f>IFERROR(VLOOKUP(C479,Merchants!$A:$D,4,FALSE),"Merchant not found")</f>
        <v>West</v>
      </c>
    </row>
    <row r="480" spans="1:11" x14ac:dyDescent="0.35">
      <c r="A480" t="s">
        <v>1020</v>
      </c>
      <c r="B480">
        <v>204</v>
      </c>
      <c r="C480">
        <v>5</v>
      </c>
      <c r="D480" t="s">
        <v>1021</v>
      </c>
      <c r="E480">
        <v>49</v>
      </c>
      <c r="F480" t="s">
        <v>68</v>
      </c>
      <c r="G480" t="s">
        <v>65</v>
      </c>
      <c r="H480">
        <v>38</v>
      </c>
      <c r="I480" t="str">
        <f>IFERROR(VLOOKUP(C480,Merchants!$A:$D,2,FALSE),"Merchant not found")</f>
        <v>Merchant_005</v>
      </c>
      <c r="J480" t="str">
        <f>IFERROR(VLOOKUP(C480,Merchants!$A:$D,3,FALSE),"Merchant not found")</f>
        <v>recharge</v>
      </c>
      <c r="K480" t="str">
        <f>IFERROR(VLOOKUP(C480,Merchants!$A:$D,4,FALSE),"Merchant not found")</f>
        <v>South</v>
      </c>
    </row>
    <row r="481" spans="1:11" x14ac:dyDescent="0.35">
      <c r="A481" t="s">
        <v>1022</v>
      </c>
      <c r="B481">
        <v>291</v>
      </c>
      <c r="C481">
        <v>25</v>
      </c>
      <c r="D481" t="s">
        <v>1023</v>
      </c>
      <c r="E481">
        <v>99</v>
      </c>
      <c r="F481" t="s">
        <v>64</v>
      </c>
      <c r="G481" t="s">
        <v>65</v>
      </c>
      <c r="H481">
        <v>86</v>
      </c>
      <c r="I481" t="str">
        <f>IFERROR(VLOOKUP(C481,Merchants!$A:$D,2,FALSE),"Merchant not found")</f>
        <v>Merchant_025</v>
      </c>
      <c r="J481" t="str">
        <f>IFERROR(VLOOKUP(C481,Merchants!$A:$D,3,FALSE),"Merchant not found")</f>
        <v>travel</v>
      </c>
      <c r="K481" t="str">
        <f>IFERROR(VLOOKUP(C481,Merchants!$A:$D,4,FALSE),"Merchant not found")</f>
        <v>South</v>
      </c>
    </row>
    <row r="482" spans="1:11" x14ac:dyDescent="0.35">
      <c r="A482" t="s">
        <v>1024</v>
      </c>
      <c r="B482">
        <v>197</v>
      </c>
      <c r="C482">
        <v>9</v>
      </c>
      <c r="D482" t="s">
        <v>1025</v>
      </c>
      <c r="E482">
        <v>49</v>
      </c>
      <c r="F482" t="s">
        <v>64</v>
      </c>
      <c r="G482" t="s">
        <v>91</v>
      </c>
      <c r="H482">
        <v>88</v>
      </c>
      <c r="I482" t="str">
        <f>IFERROR(VLOOKUP(C482,Merchants!$A:$D,2,FALSE),"Merchant not found")</f>
        <v>Merchant_009</v>
      </c>
      <c r="J482" t="str">
        <f>IFERROR(VLOOKUP(C482,Merchants!$A:$D,3,FALSE),"Merchant not found")</f>
        <v>ecommerce</v>
      </c>
      <c r="K482" t="str">
        <f>IFERROR(VLOOKUP(C482,Merchants!$A:$D,4,FALSE),"Merchant not found")</f>
        <v>North</v>
      </c>
    </row>
    <row r="483" spans="1:11" x14ac:dyDescent="0.35">
      <c r="A483" t="s">
        <v>1026</v>
      </c>
      <c r="B483">
        <v>178</v>
      </c>
      <c r="C483">
        <v>4</v>
      </c>
      <c r="D483" t="s">
        <v>1027</v>
      </c>
      <c r="E483">
        <v>1499</v>
      </c>
      <c r="F483" t="s">
        <v>68</v>
      </c>
      <c r="G483" t="s">
        <v>65</v>
      </c>
      <c r="H483">
        <v>12</v>
      </c>
      <c r="I483" t="str">
        <f>IFERROR(VLOOKUP(C483,Merchants!$A:$D,2,FALSE),"Merchant not found")</f>
        <v>Merchant_004</v>
      </c>
      <c r="J483" t="str">
        <f>IFERROR(VLOOKUP(C483,Merchants!$A:$D,3,FALSE),"Merchant not found")</f>
        <v>ecommerce</v>
      </c>
      <c r="K483" t="str">
        <f>IFERROR(VLOOKUP(C483,Merchants!$A:$D,4,FALSE),"Merchant not found")</f>
        <v>East</v>
      </c>
    </row>
    <row r="484" spans="1:11" x14ac:dyDescent="0.35">
      <c r="A484" t="s">
        <v>1028</v>
      </c>
      <c r="B484">
        <v>39</v>
      </c>
      <c r="C484">
        <v>22</v>
      </c>
      <c r="D484" t="s">
        <v>1029</v>
      </c>
      <c r="E484">
        <v>799</v>
      </c>
      <c r="F484" t="s">
        <v>73</v>
      </c>
      <c r="G484" t="s">
        <v>65</v>
      </c>
      <c r="H484">
        <v>77</v>
      </c>
      <c r="I484" t="str">
        <f>IFERROR(VLOOKUP(C484,Merchants!$A:$D,2,FALSE),"Merchant not found")</f>
        <v>Merchant_022</v>
      </c>
      <c r="J484" t="str">
        <f>IFERROR(VLOOKUP(C484,Merchants!$A:$D,3,FALSE),"Merchant not found")</f>
        <v>travel</v>
      </c>
      <c r="K484" t="str">
        <f>IFERROR(VLOOKUP(C484,Merchants!$A:$D,4,FALSE),"Merchant not found")</f>
        <v>South</v>
      </c>
    </row>
    <row r="485" spans="1:11" x14ac:dyDescent="0.35">
      <c r="A485" t="s">
        <v>1030</v>
      </c>
      <c r="B485">
        <v>204</v>
      </c>
      <c r="C485">
        <v>21</v>
      </c>
      <c r="D485" t="s">
        <v>1031</v>
      </c>
      <c r="E485">
        <v>299</v>
      </c>
      <c r="F485" t="s">
        <v>64</v>
      </c>
      <c r="G485" t="s">
        <v>65</v>
      </c>
      <c r="H485">
        <v>3</v>
      </c>
      <c r="I485" t="str">
        <f>IFERROR(VLOOKUP(C485,Merchants!$A:$D,2,FALSE),"Merchant not found")</f>
        <v>Merchant_021</v>
      </c>
      <c r="J485" t="str">
        <f>IFERROR(VLOOKUP(C485,Merchants!$A:$D,3,FALSE),"Merchant not found")</f>
        <v>food_delivery</v>
      </c>
      <c r="K485" t="str">
        <f>IFERROR(VLOOKUP(C485,Merchants!$A:$D,4,FALSE),"Merchant not found")</f>
        <v>East</v>
      </c>
    </row>
    <row r="486" spans="1:11" x14ac:dyDescent="0.35">
      <c r="A486" t="s">
        <v>1032</v>
      </c>
      <c r="B486">
        <v>231</v>
      </c>
      <c r="C486">
        <v>32</v>
      </c>
      <c r="D486" t="s">
        <v>1033</v>
      </c>
      <c r="E486">
        <v>299</v>
      </c>
      <c r="F486" t="s">
        <v>68</v>
      </c>
      <c r="G486" t="s">
        <v>65</v>
      </c>
      <c r="H486">
        <v>29</v>
      </c>
      <c r="I486" t="str">
        <f>IFERROR(VLOOKUP(C486,Merchants!$A:$D,2,FALSE),"Merchant not found")</f>
        <v>Merchant_032</v>
      </c>
      <c r="J486" t="str">
        <f>IFERROR(VLOOKUP(C486,Merchants!$A:$D,3,FALSE),"Merchant not found")</f>
        <v>food_delivery</v>
      </c>
      <c r="K486" t="str">
        <f>IFERROR(VLOOKUP(C486,Merchants!$A:$D,4,FALSE),"Merchant not found")</f>
        <v>West</v>
      </c>
    </row>
    <row r="487" spans="1:11" x14ac:dyDescent="0.35">
      <c r="A487" t="s">
        <v>1034</v>
      </c>
      <c r="B487">
        <v>222</v>
      </c>
      <c r="C487">
        <v>12</v>
      </c>
      <c r="D487" t="s">
        <v>1035</v>
      </c>
      <c r="E487">
        <v>499</v>
      </c>
      <c r="F487" t="s">
        <v>64</v>
      </c>
      <c r="G487" t="s">
        <v>91</v>
      </c>
      <c r="H487">
        <v>87</v>
      </c>
      <c r="I487" t="str">
        <f>IFERROR(VLOOKUP(C487,Merchants!$A:$D,2,FALSE),"Merchant not found")</f>
        <v>Merchant_012</v>
      </c>
      <c r="J487" t="str">
        <f>IFERROR(VLOOKUP(C487,Merchants!$A:$D,3,FALSE),"Merchant not found")</f>
        <v>ecommerce</v>
      </c>
      <c r="K487" t="str">
        <f>IFERROR(VLOOKUP(C487,Merchants!$A:$D,4,FALSE),"Merchant not found")</f>
        <v>East</v>
      </c>
    </row>
    <row r="488" spans="1:11" x14ac:dyDescent="0.35">
      <c r="A488" t="s">
        <v>1036</v>
      </c>
      <c r="B488">
        <v>44</v>
      </c>
      <c r="C488">
        <v>40</v>
      </c>
      <c r="D488" t="s">
        <v>1037</v>
      </c>
      <c r="E488">
        <v>499</v>
      </c>
      <c r="F488" t="s">
        <v>68</v>
      </c>
      <c r="G488" t="s">
        <v>65</v>
      </c>
      <c r="H488">
        <v>37</v>
      </c>
      <c r="I488" t="str">
        <f>IFERROR(VLOOKUP(C488,Merchants!$A:$D,2,FALSE),"Merchant not found")</f>
        <v>Merchant_040</v>
      </c>
      <c r="J488" t="str">
        <f>IFERROR(VLOOKUP(C488,Merchants!$A:$D,3,FALSE),"Merchant not found")</f>
        <v>entertainment</v>
      </c>
      <c r="K488" t="str">
        <f>IFERROR(VLOOKUP(C488,Merchants!$A:$D,4,FALSE),"Merchant not found")</f>
        <v>South</v>
      </c>
    </row>
    <row r="489" spans="1:11" x14ac:dyDescent="0.35">
      <c r="A489" t="s">
        <v>1038</v>
      </c>
      <c r="B489">
        <v>38</v>
      </c>
      <c r="C489">
        <v>6</v>
      </c>
      <c r="D489" t="s">
        <v>1039</v>
      </c>
      <c r="E489">
        <v>49</v>
      </c>
      <c r="F489" t="s">
        <v>64</v>
      </c>
      <c r="G489" t="s">
        <v>65</v>
      </c>
      <c r="H489">
        <v>34</v>
      </c>
      <c r="I489" t="str">
        <f>IFERROR(VLOOKUP(C489,Merchants!$A:$D,2,FALSE),"Merchant not found")</f>
        <v>Merchant_006</v>
      </c>
      <c r="J489" t="str">
        <f>IFERROR(VLOOKUP(C489,Merchants!$A:$D,3,FALSE),"Merchant not found")</f>
        <v>food_delivery</v>
      </c>
      <c r="K489" t="str">
        <f>IFERROR(VLOOKUP(C489,Merchants!$A:$D,4,FALSE),"Merchant not found")</f>
        <v>South</v>
      </c>
    </row>
    <row r="490" spans="1:11" x14ac:dyDescent="0.35">
      <c r="A490" t="s">
        <v>1040</v>
      </c>
      <c r="B490">
        <v>325</v>
      </c>
      <c r="C490">
        <v>10</v>
      </c>
      <c r="D490" t="s">
        <v>1041</v>
      </c>
      <c r="E490">
        <v>49</v>
      </c>
      <c r="F490" t="s">
        <v>73</v>
      </c>
      <c r="G490" t="s">
        <v>116</v>
      </c>
      <c r="H490">
        <v>94</v>
      </c>
      <c r="I490" t="str">
        <f>IFERROR(VLOOKUP(C490,Merchants!$A:$D,2,FALSE),"Merchant not found")</f>
        <v>Merchant_010</v>
      </c>
      <c r="J490" t="str">
        <f>IFERROR(VLOOKUP(C490,Merchants!$A:$D,3,FALSE),"Merchant not found")</f>
        <v>grocery</v>
      </c>
      <c r="K490" t="str">
        <f>IFERROR(VLOOKUP(C490,Merchants!$A:$D,4,FALSE),"Merchant not found")</f>
        <v>West</v>
      </c>
    </row>
    <row r="491" spans="1:11" x14ac:dyDescent="0.35">
      <c r="A491" t="s">
        <v>1042</v>
      </c>
      <c r="B491">
        <v>55</v>
      </c>
      <c r="C491">
        <v>6</v>
      </c>
      <c r="D491" t="s">
        <v>1043</v>
      </c>
      <c r="E491">
        <v>1499</v>
      </c>
      <c r="F491" t="s">
        <v>90</v>
      </c>
      <c r="G491" t="s">
        <v>65</v>
      </c>
      <c r="H491">
        <v>0</v>
      </c>
      <c r="I491" t="str">
        <f>IFERROR(VLOOKUP(C491,Merchants!$A:$D,2,FALSE),"Merchant not found")</f>
        <v>Merchant_006</v>
      </c>
      <c r="J491" t="str">
        <f>IFERROR(VLOOKUP(C491,Merchants!$A:$D,3,FALSE),"Merchant not found")</f>
        <v>food_delivery</v>
      </c>
      <c r="K491" t="str">
        <f>IFERROR(VLOOKUP(C491,Merchants!$A:$D,4,FALSE),"Merchant not found")</f>
        <v>South</v>
      </c>
    </row>
    <row r="492" spans="1:11" x14ac:dyDescent="0.35">
      <c r="A492" t="s">
        <v>1044</v>
      </c>
      <c r="B492">
        <v>139</v>
      </c>
      <c r="C492">
        <v>7</v>
      </c>
      <c r="D492" t="s">
        <v>1045</v>
      </c>
      <c r="E492">
        <v>499</v>
      </c>
      <c r="F492" t="s">
        <v>90</v>
      </c>
      <c r="G492" t="s">
        <v>65</v>
      </c>
      <c r="H492">
        <v>16</v>
      </c>
      <c r="I492" t="str">
        <f>IFERROR(VLOOKUP(C492,Merchants!$A:$D,2,FALSE),"Merchant not found")</f>
        <v>Merchant_007</v>
      </c>
      <c r="J492" t="str">
        <f>IFERROR(VLOOKUP(C492,Merchants!$A:$D,3,FALSE),"Merchant not found")</f>
        <v>food_delivery</v>
      </c>
      <c r="K492" t="str">
        <f>IFERROR(VLOOKUP(C492,Merchants!$A:$D,4,FALSE),"Merchant not found")</f>
        <v>East</v>
      </c>
    </row>
    <row r="493" spans="1:11" x14ac:dyDescent="0.35">
      <c r="A493" t="s">
        <v>1046</v>
      </c>
      <c r="B493">
        <v>230</v>
      </c>
      <c r="C493">
        <v>36</v>
      </c>
      <c r="D493" t="s">
        <v>1047</v>
      </c>
      <c r="E493">
        <v>99</v>
      </c>
      <c r="F493" t="s">
        <v>64</v>
      </c>
      <c r="G493" t="s">
        <v>65</v>
      </c>
      <c r="H493">
        <v>71</v>
      </c>
      <c r="I493" t="str">
        <f>IFERROR(VLOOKUP(C493,Merchants!$A:$D,2,FALSE),"Merchant not found")</f>
        <v>Merchant_036</v>
      </c>
      <c r="J493" t="str">
        <f>IFERROR(VLOOKUP(C493,Merchants!$A:$D,3,FALSE),"Merchant not found")</f>
        <v>entertainment</v>
      </c>
      <c r="K493" t="str">
        <f>IFERROR(VLOOKUP(C493,Merchants!$A:$D,4,FALSE),"Merchant not found")</f>
        <v>East</v>
      </c>
    </row>
    <row r="494" spans="1:11" x14ac:dyDescent="0.35">
      <c r="A494" t="s">
        <v>1048</v>
      </c>
      <c r="B494">
        <v>14</v>
      </c>
      <c r="C494">
        <v>6</v>
      </c>
      <c r="D494" t="s">
        <v>1049</v>
      </c>
      <c r="E494">
        <v>799</v>
      </c>
      <c r="F494" t="s">
        <v>90</v>
      </c>
      <c r="G494" t="s">
        <v>65</v>
      </c>
      <c r="H494">
        <v>45</v>
      </c>
      <c r="I494" t="str">
        <f>IFERROR(VLOOKUP(C494,Merchants!$A:$D,2,FALSE),"Merchant not found")</f>
        <v>Merchant_006</v>
      </c>
      <c r="J494" t="str">
        <f>IFERROR(VLOOKUP(C494,Merchants!$A:$D,3,FALSE),"Merchant not found")</f>
        <v>food_delivery</v>
      </c>
      <c r="K494" t="str">
        <f>IFERROR(VLOOKUP(C494,Merchants!$A:$D,4,FALSE),"Merchant not found")</f>
        <v>South</v>
      </c>
    </row>
    <row r="495" spans="1:11" x14ac:dyDescent="0.35">
      <c r="A495" t="s">
        <v>1050</v>
      </c>
      <c r="B495">
        <v>307</v>
      </c>
      <c r="C495">
        <v>21</v>
      </c>
      <c r="D495" t="s">
        <v>1051</v>
      </c>
      <c r="E495">
        <v>799</v>
      </c>
      <c r="F495" t="s">
        <v>68</v>
      </c>
      <c r="G495" t="s">
        <v>65</v>
      </c>
      <c r="H495">
        <v>49</v>
      </c>
      <c r="I495" t="str">
        <f>IFERROR(VLOOKUP(C495,Merchants!$A:$D,2,FALSE),"Merchant not found")</f>
        <v>Merchant_021</v>
      </c>
      <c r="J495" t="str">
        <f>IFERROR(VLOOKUP(C495,Merchants!$A:$D,3,FALSE),"Merchant not found")</f>
        <v>food_delivery</v>
      </c>
      <c r="K495" t="str">
        <f>IFERROR(VLOOKUP(C495,Merchants!$A:$D,4,FALSE),"Merchant not found")</f>
        <v>East</v>
      </c>
    </row>
    <row r="496" spans="1:11" x14ac:dyDescent="0.35">
      <c r="A496" t="s">
        <v>1052</v>
      </c>
      <c r="B496">
        <v>199</v>
      </c>
      <c r="C496">
        <v>6</v>
      </c>
      <c r="D496" t="s">
        <v>1053</v>
      </c>
      <c r="E496">
        <v>49</v>
      </c>
      <c r="F496" t="s">
        <v>68</v>
      </c>
      <c r="G496" t="s">
        <v>65</v>
      </c>
      <c r="H496">
        <v>92</v>
      </c>
      <c r="I496" t="str">
        <f>IFERROR(VLOOKUP(C496,Merchants!$A:$D,2,FALSE),"Merchant not found")</f>
        <v>Merchant_006</v>
      </c>
      <c r="J496" t="str">
        <f>IFERROR(VLOOKUP(C496,Merchants!$A:$D,3,FALSE),"Merchant not found")</f>
        <v>food_delivery</v>
      </c>
      <c r="K496" t="str">
        <f>IFERROR(VLOOKUP(C496,Merchants!$A:$D,4,FALSE),"Merchant not found")</f>
        <v>South</v>
      </c>
    </row>
    <row r="497" spans="1:11" x14ac:dyDescent="0.35">
      <c r="A497" t="s">
        <v>1054</v>
      </c>
      <c r="B497">
        <v>125</v>
      </c>
      <c r="C497">
        <v>37</v>
      </c>
      <c r="D497" t="s">
        <v>1055</v>
      </c>
      <c r="E497">
        <v>149</v>
      </c>
      <c r="F497" t="s">
        <v>64</v>
      </c>
      <c r="G497" t="s">
        <v>65</v>
      </c>
      <c r="H497">
        <v>66</v>
      </c>
      <c r="I497" t="str">
        <f>IFERROR(VLOOKUP(C497,Merchants!$A:$D,2,FALSE),"Merchant not found")</f>
        <v>Merchant_037</v>
      </c>
      <c r="J497" t="str">
        <f>IFERROR(VLOOKUP(C497,Merchants!$A:$D,3,FALSE),"Merchant not found")</f>
        <v>entertainment</v>
      </c>
      <c r="K497" t="str">
        <f>IFERROR(VLOOKUP(C497,Merchants!$A:$D,4,FALSE),"Merchant not found")</f>
        <v>South</v>
      </c>
    </row>
    <row r="498" spans="1:11" x14ac:dyDescent="0.35">
      <c r="A498" t="s">
        <v>1056</v>
      </c>
      <c r="B498">
        <v>87</v>
      </c>
      <c r="C498">
        <v>9</v>
      </c>
      <c r="D498" t="s">
        <v>1057</v>
      </c>
      <c r="E498">
        <v>149</v>
      </c>
      <c r="F498" t="s">
        <v>68</v>
      </c>
      <c r="G498" t="s">
        <v>65</v>
      </c>
      <c r="H498">
        <v>34</v>
      </c>
      <c r="I498" t="str">
        <f>IFERROR(VLOOKUP(C498,Merchants!$A:$D,2,FALSE),"Merchant not found")</f>
        <v>Merchant_009</v>
      </c>
      <c r="J498" t="str">
        <f>IFERROR(VLOOKUP(C498,Merchants!$A:$D,3,FALSE),"Merchant not found")</f>
        <v>ecommerce</v>
      </c>
      <c r="K498" t="str">
        <f>IFERROR(VLOOKUP(C498,Merchants!$A:$D,4,FALSE),"Merchant not found")</f>
        <v>North</v>
      </c>
    </row>
    <row r="499" spans="1:11" x14ac:dyDescent="0.35">
      <c r="A499" t="s">
        <v>1058</v>
      </c>
      <c r="B499">
        <v>75</v>
      </c>
      <c r="C499">
        <v>5</v>
      </c>
      <c r="D499" t="s">
        <v>1059</v>
      </c>
      <c r="E499">
        <v>99</v>
      </c>
      <c r="F499" t="s">
        <v>68</v>
      </c>
      <c r="G499" t="s">
        <v>65</v>
      </c>
      <c r="H499">
        <v>21</v>
      </c>
      <c r="I499" t="str">
        <f>IFERROR(VLOOKUP(C499,Merchants!$A:$D,2,FALSE),"Merchant not found")</f>
        <v>Merchant_005</v>
      </c>
      <c r="J499" t="str">
        <f>IFERROR(VLOOKUP(C499,Merchants!$A:$D,3,FALSE),"Merchant not found")</f>
        <v>recharge</v>
      </c>
      <c r="K499" t="str">
        <f>IFERROR(VLOOKUP(C499,Merchants!$A:$D,4,FALSE),"Merchant not found")</f>
        <v>South</v>
      </c>
    </row>
    <row r="500" spans="1:11" x14ac:dyDescent="0.35">
      <c r="A500" t="s">
        <v>1060</v>
      </c>
      <c r="B500">
        <v>154</v>
      </c>
      <c r="C500">
        <v>31</v>
      </c>
      <c r="D500" t="s">
        <v>1061</v>
      </c>
      <c r="E500">
        <v>499</v>
      </c>
      <c r="F500" t="s">
        <v>64</v>
      </c>
      <c r="G500" t="s">
        <v>65</v>
      </c>
      <c r="H500">
        <v>100</v>
      </c>
      <c r="I500" t="str">
        <f>IFERROR(VLOOKUP(C500,Merchants!$A:$D,2,FALSE),"Merchant not found")</f>
        <v>Merchant_031</v>
      </c>
      <c r="J500" t="str">
        <f>IFERROR(VLOOKUP(C500,Merchants!$A:$D,3,FALSE),"Merchant not found")</f>
        <v>bill_payment</v>
      </c>
      <c r="K500" t="str">
        <f>IFERROR(VLOOKUP(C500,Merchants!$A:$D,4,FALSE),"Merchant not found")</f>
        <v>East</v>
      </c>
    </row>
    <row r="501" spans="1:11" x14ac:dyDescent="0.35">
      <c r="A501" t="s">
        <v>1062</v>
      </c>
      <c r="B501">
        <v>127</v>
      </c>
      <c r="C501">
        <v>32</v>
      </c>
      <c r="D501" t="s">
        <v>1063</v>
      </c>
      <c r="E501">
        <v>149</v>
      </c>
      <c r="F501" t="s">
        <v>90</v>
      </c>
      <c r="G501" t="s">
        <v>65</v>
      </c>
      <c r="H501">
        <v>76</v>
      </c>
      <c r="I501" t="str">
        <f>IFERROR(VLOOKUP(C501,Merchants!$A:$D,2,FALSE),"Merchant not found")</f>
        <v>Merchant_032</v>
      </c>
      <c r="J501" t="str">
        <f>IFERROR(VLOOKUP(C501,Merchants!$A:$D,3,FALSE),"Merchant not found")</f>
        <v>food_delivery</v>
      </c>
      <c r="K501" t="str">
        <f>IFERROR(VLOOKUP(C501,Merchants!$A:$D,4,FALSE),"Merchant not found")</f>
        <v>West</v>
      </c>
    </row>
    <row r="502" spans="1:11" x14ac:dyDescent="0.35">
      <c r="A502" t="s">
        <v>1064</v>
      </c>
      <c r="B502">
        <v>351</v>
      </c>
      <c r="C502">
        <v>7</v>
      </c>
      <c r="D502" t="s">
        <v>1065</v>
      </c>
      <c r="E502">
        <v>1999</v>
      </c>
      <c r="F502" t="s">
        <v>90</v>
      </c>
      <c r="G502" t="s">
        <v>116</v>
      </c>
      <c r="H502">
        <v>79</v>
      </c>
      <c r="I502" t="str">
        <f>IFERROR(VLOOKUP(C502,Merchants!$A:$D,2,FALSE),"Merchant not found")</f>
        <v>Merchant_007</v>
      </c>
      <c r="J502" t="str">
        <f>IFERROR(VLOOKUP(C502,Merchants!$A:$D,3,FALSE),"Merchant not found")</f>
        <v>food_delivery</v>
      </c>
      <c r="K502" t="str">
        <f>IFERROR(VLOOKUP(C502,Merchants!$A:$D,4,FALSE),"Merchant not found")</f>
        <v>East</v>
      </c>
    </row>
    <row r="503" spans="1:11" x14ac:dyDescent="0.35">
      <c r="A503" t="s">
        <v>1066</v>
      </c>
      <c r="B503">
        <v>352</v>
      </c>
      <c r="C503">
        <v>40</v>
      </c>
      <c r="D503" t="s">
        <v>1067</v>
      </c>
      <c r="E503">
        <v>4999</v>
      </c>
      <c r="F503" t="s">
        <v>90</v>
      </c>
      <c r="G503" t="s">
        <v>116</v>
      </c>
      <c r="H503">
        <v>95</v>
      </c>
      <c r="I503" t="str">
        <f>IFERROR(VLOOKUP(C503,Merchants!$A:$D,2,FALSE),"Merchant not found")</f>
        <v>Merchant_040</v>
      </c>
      <c r="J503" t="str">
        <f>IFERROR(VLOOKUP(C503,Merchants!$A:$D,3,FALSE),"Merchant not found")</f>
        <v>entertainment</v>
      </c>
      <c r="K503" t="str">
        <f>IFERROR(VLOOKUP(C503,Merchants!$A:$D,4,FALSE),"Merchant not found")</f>
        <v>South</v>
      </c>
    </row>
    <row r="504" spans="1:11" x14ac:dyDescent="0.35">
      <c r="A504" t="s">
        <v>1068</v>
      </c>
      <c r="B504">
        <v>353</v>
      </c>
      <c r="C504">
        <v>28</v>
      </c>
      <c r="D504" t="s">
        <v>1069</v>
      </c>
      <c r="E504">
        <v>1999</v>
      </c>
      <c r="F504" t="s">
        <v>90</v>
      </c>
      <c r="G504" t="s">
        <v>116</v>
      </c>
      <c r="H504">
        <v>79</v>
      </c>
      <c r="I504" t="str">
        <f>IFERROR(VLOOKUP(C504,Merchants!$A:$D,2,FALSE),"Merchant not found")</f>
        <v>Merchant_028</v>
      </c>
      <c r="J504" t="str">
        <f>IFERROR(VLOOKUP(C504,Merchants!$A:$D,3,FALSE),"Merchant not found")</f>
        <v>ecommerce</v>
      </c>
      <c r="K504" t="str">
        <f>IFERROR(VLOOKUP(C504,Merchants!$A:$D,4,FALSE),"Merchant not found")</f>
        <v>South</v>
      </c>
    </row>
    <row r="505" spans="1:11" x14ac:dyDescent="0.35">
      <c r="A505" t="s">
        <v>1070</v>
      </c>
      <c r="B505">
        <v>354</v>
      </c>
      <c r="C505">
        <v>13</v>
      </c>
      <c r="D505" t="s">
        <v>1071</v>
      </c>
      <c r="E505">
        <v>4999</v>
      </c>
      <c r="F505" t="s">
        <v>90</v>
      </c>
      <c r="G505" t="s">
        <v>116</v>
      </c>
      <c r="H505">
        <v>80</v>
      </c>
      <c r="I505" t="str">
        <f>IFERROR(VLOOKUP(C505,Merchants!$A:$D,2,FALSE),"Merchant not found")</f>
        <v>Merchant_013</v>
      </c>
      <c r="J505" t="str">
        <f>IFERROR(VLOOKUP(C505,Merchants!$A:$D,3,FALSE),"Merchant not found")</f>
        <v>travel</v>
      </c>
      <c r="K505" t="str">
        <f>IFERROR(VLOOKUP(C505,Merchants!$A:$D,4,FALSE),"Merchant not found")</f>
        <v>East</v>
      </c>
    </row>
    <row r="506" spans="1:11" x14ac:dyDescent="0.35">
      <c r="A506" t="s">
        <v>1072</v>
      </c>
      <c r="B506">
        <v>355</v>
      </c>
      <c r="C506">
        <v>19</v>
      </c>
      <c r="D506" t="s">
        <v>1073</v>
      </c>
      <c r="E506">
        <v>4999</v>
      </c>
      <c r="F506" t="s">
        <v>90</v>
      </c>
      <c r="G506" t="s">
        <v>116</v>
      </c>
      <c r="H506">
        <v>100</v>
      </c>
      <c r="I506" t="str">
        <f>IFERROR(VLOOKUP(C506,Merchants!$A:$D,2,FALSE),"Merchant not found")</f>
        <v>Merchant_019</v>
      </c>
      <c r="J506" t="str">
        <f>IFERROR(VLOOKUP(C506,Merchants!$A:$D,3,FALSE),"Merchant not found")</f>
        <v>grocery</v>
      </c>
      <c r="K506" t="str">
        <f>IFERROR(VLOOKUP(C506,Merchants!$A:$D,4,FALSE),"Merchant not found")</f>
        <v>North</v>
      </c>
    </row>
    <row r="507" spans="1:11" x14ac:dyDescent="0.35">
      <c r="A507" t="s">
        <v>1074</v>
      </c>
      <c r="B507">
        <v>356</v>
      </c>
      <c r="C507">
        <v>25</v>
      </c>
      <c r="D507" t="s">
        <v>1075</v>
      </c>
      <c r="E507">
        <v>2999</v>
      </c>
      <c r="F507" t="s">
        <v>90</v>
      </c>
      <c r="G507" t="s">
        <v>116</v>
      </c>
      <c r="H507">
        <v>96</v>
      </c>
      <c r="I507" t="str">
        <f>IFERROR(VLOOKUP(C507,Merchants!$A:$D,2,FALSE),"Merchant not found")</f>
        <v>Merchant_025</v>
      </c>
      <c r="J507" t="str">
        <f>IFERROR(VLOOKUP(C507,Merchants!$A:$D,3,FALSE),"Merchant not found")</f>
        <v>travel</v>
      </c>
      <c r="K507" t="str">
        <f>IFERROR(VLOOKUP(C507,Merchants!$A:$D,4,FALSE),"Merchant not found")</f>
        <v>South</v>
      </c>
    </row>
    <row r="508" spans="1:11" x14ac:dyDescent="0.35">
      <c r="A508" t="s">
        <v>1076</v>
      </c>
      <c r="B508">
        <v>357</v>
      </c>
      <c r="C508">
        <v>37</v>
      </c>
      <c r="D508" t="s">
        <v>1077</v>
      </c>
      <c r="E508">
        <v>1999</v>
      </c>
      <c r="F508" t="s">
        <v>90</v>
      </c>
      <c r="G508" t="s">
        <v>116</v>
      </c>
      <c r="H508">
        <v>88</v>
      </c>
      <c r="I508" t="str">
        <f>IFERROR(VLOOKUP(C508,Merchants!$A:$D,2,FALSE),"Merchant not found")</f>
        <v>Merchant_037</v>
      </c>
      <c r="J508" t="str">
        <f>IFERROR(VLOOKUP(C508,Merchants!$A:$D,3,FALSE),"Merchant not found")</f>
        <v>entertainment</v>
      </c>
      <c r="K508" t="str">
        <f>IFERROR(VLOOKUP(C508,Merchants!$A:$D,4,FALSE),"Merchant not found")</f>
        <v>South</v>
      </c>
    </row>
    <row r="509" spans="1:11" x14ac:dyDescent="0.35">
      <c r="A509" t="s">
        <v>1078</v>
      </c>
      <c r="B509">
        <v>358</v>
      </c>
      <c r="C509">
        <v>36</v>
      </c>
      <c r="D509" t="s">
        <v>1079</v>
      </c>
      <c r="E509">
        <v>999</v>
      </c>
      <c r="F509" t="s">
        <v>90</v>
      </c>
      <c r="G509" t="s">
        <v>116</v>
      </c>
      <c r="H509">
        <v>100</v>
      </c>
      <c r="I509" t="str">
        <f>IFERROR(VLOOKUP(C509,Merchants!$A:$D,2,FALSE),"Merchant not found")</f>
        <v>Merchant_036</v>
      </c>
      <c r="J509" t="str">
        <f>IFERROR(VLOOKUP(C509,Merchants!$A:$D,3,FALSE),"Merchant not found")</f>
        <v>entertainment</v>
      </c>
      <c r="K509" t="str">
        <f>IFERROR(VLOOKUP(C509,Merchants!$A:$D,4,FALSE),"Merchant not found")</f>
        <v>East</v>
      </c>
    </row>
    <row r="510" spans="1:11" x14ac:dyDescent="0.35">
      <c r="A510" t="s">
        <v>1080</v>
      </c>
      <c r="B510">
        <v>359</v>
      </c>
      <c r="C510">
        <v>29</v>
      </c>
      <c r="D510" t="s">
        <v>1081</v>
      </c>
      <c r="E510">
        <v>2999</v>
      </c>
      <c r="F510" t="s">
        <v>90</v>
      </c>
      <c r="G510" t="s">
        <v>116</v>
      </c>
      <c r="H510">
        <v>96</v>
      </c>
      <c r="I510" t="str">
        <f>IFERROR(VLOOKUP(C510,Merchants!$A:$D,2,FALSE),"Merchant not found")</f>
        <v>Merchant_029</v>
      </c>
      <c r="J510" t="str">
        <f>IFERROR(VLOOKUP(C510,Merchants!$A:$D,3,FALSE),"Merchant not found")</f>
        <v>ecommerce</v>
      </c>
      <c r="K510" t="str">
        <f>IFERROR(VLOOKUP(C510,Merchants!$A:$D,4,FALSE),"Merchant not found")</f>
        <v>North</v>
      </c>
    </row>
    <row r="511" spans="1:11" x14ac:dyDescent="0.35">
      <c r="A511" t="s">
        <v>1082</v>
      </c>
      <c r="B511">
        <v>360</v>
      </c>
      <c r="C511">
        <v>32</v>
      </c>
      <c r="D511" t="s">
        <v>1083</v>
      </c>
      <c r="E511">
        <v>1999</v>
      </c>
      <c r="F511" t="s">
        <v>90</v>
      </c>
      <c r="G511" t="s">
        <v>116</v>
      </c>
      <c r="H511">
        <v>90</v>
      </c>
      <c r="I511" t="str">
        <f>IFERROR(VLOOKUP(C511,Merchants!$A:$D,2,FALSE),"Merchant not found")</f>
        <v>Merchant_032</v>
      </c>
      <c r="J511" t="str">
        <f>IFERROR(VLOOKUP(C511,Merchants!$A:$D,3,FALSE),"Merchant not found")</f>
        <v>food_delivery</v>
      </c>
      <c r="K511" t="str">
        <f>IFERROR(VLOOKUP(C511,Merchants!$A:$D,4,FALSE),"Merchant not found")</f>
        <v>West</v>
      </c>
    </row>
    <row r="512" spans="1:11" x14ac:dyDescent="0.35">
      <c r="A512" t="s">
        <v>1084</v>
      </c>
      <c r="B512">
        <v>361</v>
      </c>
      <c r="C512">
        <v>10</v>
      </c>
      <c r="D512" t="s">
        <v>1085</v>
      </c>
      <c r="E512">
        <v>4999</v>
      </c>
      <c r="F512" t="s">
        <v>90</v>
      </c>
      <c r="G512" t="s">
        <v>116</v>
      </c>
      <c r="H512">
        <v>95</v>
      </c>
      <c r="I512" t="str">
        <f>IFERROR(VLOOKUP(C512,Merchants!$A:$D,2,FALSE),"Merchant not found")</f>
        <v>Merchant_010</v>
      </c>
      <c r="J512" t="str">
        <f>IFERROR(VLOOKUP(C512,Merchants!$A:$D,3,FALSE),"Merchant not found")</f>
        <v>grocery</v>
      </c>
      <c r="K512" t="str">
        <f>IFERROR(VLOOKUP(C512,Merchants!$A:$D,4,FALSE),"Merchant not found")</f>
        <v>West</v>
      </c>
    </row>
    <row r="513" spans="1:11" x14ac:dyDescent="0.35">
      <c r="A513" t="s">
        <v>1086</v>
      </c>
      <c r="B513">
        <v>362</v>
      </c>
      <c r="C513">
        <v>39</v>
      </c>
      <c r="D513" t="s">
        <v>1087</v>
      </c>
      <c r="E513">
        <v>4999</v>
      </c>
      <c r="F513" t="s">
        <v>90</v>
      </c>
      <c r="G513" t="s">
        <v>116</v>
      </c>
      <c r="H513">
        <v>88</v>
      </c>
      <c r="I513" t="str">
        <f>IFERROR(VLOOKUP(C513,Merchants!$A:$D,2,FALSE),"Merchant not found")</f>
        <v>Merchant_039</v>
      </c>
      <c r="J513" t="str">
        <f>IFERROR(VLOOKUP(C513,Merchants!$A:$D,3,FALSE),"Merchant not found")</f>
        <v>entertainment</v>
      </c>
      <c r="K513" t="str">
        <f>IFERROR(VLOOKUP(C513,Merchants!$A:$D,4,FALSE),"Merchant not found")</f>
        <v>North</v>
      </c>
    </row>
    <row r="514" spans="1:11" x14ac:dyDescent="0.35">
      <c r="A514" t="s">
        <v>1088</v>
      </c>
      <c r="B514">
        <v>363</v>
      </c>
      <c r="C514">
        <v>27</v>
      </c>
      <c r="D514" t="s">
        <v>1089</v>
      </c>
      <c r="E514">
        <v>999</v>
      </c>
      <c r="F514" t="s">
        <v>90</v>
      </c>
      <c r="G514" t="s">
        <v>116</v>
      </c>
      <c r="H514">
        <v>95</v>
      </c>
      <c r="I514" t="str">
        <f>IFERROR(VLOOKUP(C514,Merchants!$A:$D,2,FALSE),"Merchant not found")</f>
        <v>Merchant_027</v>
      </c>
      <c r="J514" t="str">
        <f>IFERROR(VLOOKUP(C514,Merchants!$A:$D,3,FALSE),"Merchant not found")</f>
        <v>ecommerce</v>
      </c>
      <c r="K514" t="str">
        <f>IFERROR(VLOOKUP(C514,Merchants!$A:$D,4,FALSE),"Merchant not found")</f>
        <v>North</v>
      </c>
    </row>
    <row r="515" spans="1:11" x14ac:dyDescent="0.35">
      <c r="A515" t="s">
        <v>1090</v>
      </c>
      <c r="B515">
        <v>364</v>
      </c>
      <c r="C515">
        <v>39</v>
      </c>
      <c r="D515" t="s">
        <v>1091</v>
      </c>
      <c r="E515">
        <v>999</v>
      </c>
      <c r="F515" t="s">
        <v>90</v>
      </c>
      <c r="G515" t="s">
        <v>116</v>
      </c>
      <c r="H515">
        <v>73</v>
      </c>
      <c r="I515" t="str">
        <f>IFERROR(VLOOKUP(C515,Merchants!$A:$D,2,FALSE),"Merchant not found")</f>
        <v>Merchant_039</v>
      </c>
      <c r="J515" t="str">
        <f>IFERROR(VLOOKUP(C515,Merchants!$A:$D,3,FALSE),"Merchant not found")</f>
        <v>entertainment</v>
      </c>
      <c r="K515" t="str">
        <f>IFERROR(VLOOKUP(C515,Merchants!$A:$D,4,FALSE),"Merchant not found")</f>
        <v>North</v>
      </c>
    </row>
    <row r="516" spans="1:11" x14ac:dyDescent="0.35">
      <c r="A516" t="s">
        <v>1092</v>
      </c>
      <c r="B516">
        <v>365</v>
      </c>
      <c r="C516">
        <v>23</v>
      </c>
      <c r="D516" t="s">
        <v>1093</v>
      </c>
      <c r="E516">
        <v>1999</v>
      </c>
      <c r="F516" t="s">
        <v>90</v>
      </c>
      <c r="G516" t="s">
        <v>116</v>
      </c>
      <c r="H516">
        <v>90</v>
      </c>
      <c r="I516" t="str">
        <f>IFERROR(VLOOKUP(C516,Merchants!$A:$D,2,FALSE),"Merchant not found")</f>
        <v>Merchant_023</v>
      </c>
      <c r="J516" t="str">
        <f>IFERROR(VLOOKUP(C516,Merchants!$A:$D,3,FALSE),"Merchant not found")</f>
        <v>travel</v>
      </c>
      <c r="K516" t="str">
        <f>IFERROR(VLOOKUP(C516,Merchants!$A:$D,4,FALSE),"Merchant not found")</f>
        <v>North</v>
      </c>
    </row>
    <row r="517" spans="1:11" x14ac:dyDescent="0.35">
      <c r="A517" t="s">
        <v>1094</v>
      </c>
      <c r="B517">
        <v>314</v>
      </c>
      <c r="C517">
        <v>26</v>
      </c>
      <c r="D517" t="s">
        <v>1095</v>
      </c>
      <c r="E517">
        <v>399</v>
      </c>
      <c r="F517" t="s">
        <v>90</v>
      </c>
      <c r="G517" t="s">
        <v>91</v>
      </c>
      <c r="H517">
        <v>87</v>
      </c>
      <c r="I517" t="str">
        <f>IFERROR(VLOOKUP(C517,Merchants!$A:$D,2,FALSE),"Merchant not found")</f>
        <v>Merchant_026</v>
      </c>
      <c r="J517" t="str">
        <f>IFERROR(VLOOKUP(C517,Merchants!$A:$D,3,FALSE),"Merchant not found")</f>
        <v>food_delivery</v>
      </c>
      <c r="K517" t="str">
        <f>IFERROR(VLOOKUP(C517,Merchants!$A:$D,4,FALSE),"Merchant not found")</f>
        <v>East</v>
      </c>
    </row>
    <row r="518" spans="1:11" x14ac:dyDescent="0.35">
      <c r="A518" t="s">
        <v>1096</v>
      </c>
      <c r="B518">
        <v>314</v>
      </c>
      <c r="C518">
        <v>7</v>
      </c>
      <c r="D518" t="s">
        <v>1097</v>
      </c>
      <c r="E518">
        <v>299</v>
      </c>
      <c r="F518" t="s">
        <v>90</v>
      </c>
      <c r="G518" t="s">
        <v>91</v>
      </c>
      <c r="H518">
        <v>66</v>
      </c>
      <c r="I518" t="str">
        <f>IFERROR(VLOOKUP(C518,Merchants!$A:$D,2,FALSE),"Merchant not found")</f>
        <v>Merchant_007</v>
      </c>
      <c r="J518" t="str">
        <f>IFERROR(VLOOKUP(C518,Merchants!$A:$D,3,FALSE),"Merchant not found")</f>
        <v>food_delivery</v>
      </c>
      <c r="K518" t="str">
        <f>IFERROR(VLOOKUP(C518,Merchants!$A:$D,4,FALSE),"Merchant not found")</f>
        <v>East</v>
      </c>
    </row>
    <row r="519" spans="1:11" x14ac:dyDescent="0.35">
      <c r="A519" t="s">
        <v>1098</v>
      </c>
      <c r="B519">
        <v>314</v>
      </c>
      <c r="C519">
        <v>17</v>
      </c>
      <c r="D519" t="s">
        <v>1099</v>
      </c>
      <c r="E519">
        <v>299</v>
      </c>
      <c r="F519" t="s">
        <v>90</v>
      </c>
      <c r="G519" t="s">
        <v>91</v>
      </c>
      <c r="H519">
        <v>92</v>
      </c>
      <c r="I519" t="str">
        <f>IFERROR(VLOOKUP(C519,Merchants!$A:$D,2,FALSE),"Merchant not found")</f>
        <v>Merchant_017</v>
      </c>
      <c r="J519" t="str">
        <f>IFERROR(VLOOKUP(C519,Merchants!$A:$D,3,FALSE),"Merchant not found")</f>
        <v>grocery</v>
      </c>
      <c r="K519" t="str">
        <f>IFERROR(VLOOKUP(C519,Merchants!$A:$D,4,FALSE),"Merchant not found")</f>
        <v>North</v>
      </c>
    </row>
    <row r="520" spans="1:11" x14ac:dyDescent="0.35">
      <c r="A520" t="s">
        <v>1100</v>
      </c>
      <c r="B520">
        <v>314</v>
      </c>
      <c r="C520">
        <v>34</v>
      </c>
      <c r="D520" t="s">
        <v>1101</v>
      </c>
      <c r="E520">
        <v>499</v>
      </c>
      <c r="F520" t="s">
        <v>90</v>
      </c>
      <c r="G520" t="s">
        <v>65</v>
      </c>
      <c r="H520">
        <v>74</v>
      </c>
      <c r="I520" t="str">
        <f>IFERROR(VLOOKUP(C520,Merchants!$A:$D,2,FALSE),"Merchant not found")</f>
        <v>Merchant_034</v>
      </c>
      <c r="J520" t="str">
        <f>IFERROR(VLOOKUP(C520,Merchants!$A:$D,3,FALSE),"Merchant not found")</f>
        <v>travel</v>
      </c>
      <c r="K520" t="str">
        <f>IFERROR(VLOOKUP(C520,Merchants!$A:$D,4,FALSE),"Merchant not found")</f>
        <v>South</v>
      </c>
    </row>
    <row r="521" spans="1:11" x14ac:dyDescent="0.35">
      <c r="A521" t="s">
        <v>1102</v>
      </c>
      <c r="B521">
        <v>229</v>
      </c>
      <c r="C521">
        <v>30</v>
      </c>
      <c r="D521" t="s">
        <v>1103</v>
      </c>
      <c r="E521">
        <v>499</v>
      </c>
      <c r="F521" t="s">
        <v>90</v>
      </c>
      <c r="G521" t="s">
        <v>91</v>
      </c>
      <c r="H521">
        <v>92</v>
      </c>
      <c r="I521" t="str">
        <f>IFERROR(VLOOKUP(C521,Merchants!$A:$D,2,FALSE),"Merchant not found")</f>
        <v>Merchant_030</v>
      </c>
      <c r="J521" t="str">
        <f>IFERROR(VLOOKUP(C521,Merchants!$A:$D,3,FALSE),"Merchant not found")</f>
        <v>travel</v>
      </c>
      <c r="K521" t="str">
        <f>IFERROR(VLOOKUP(C521,Merchants!$A:$D,4,FALSE),"Merchant not found")</f>
        <v>West</v>
      </c>
    </row>
    <row r="522" spans="1:11" x14ac:dyDescent="0.35">
      <c r="A522" t="s">
        <v>1104</v>
      </c>
      <c r="B522">
        <v>229</v>
      </c>
      <c r="C522">
        <v>10</v>
      </c>
      <c r="D522" t="s">
        <v>1105</v>
      </c>
      <c r="E522">
        <v>399</v>
      </c>
      <c r="F522" t="s">
        <v>90</v>
      </c>
      <c r="G522" t="s">
        <v>91</v>
      </c>
      <c r="H522">
        <v>61</v>
      </c>
      <c r="I522" t="str">
        <f>IFERROR(VLOOKUP(C522,Merchants!$A:$D,2,FALSE),"Merchant not found")</f>
        <v>Merchant_010</v>
      </c>
      <c r="J522" t="str">
        <f>IFERROR(VLOOKUP(C522,Merchants!$A:$D,3,FALSE),"Merchant not found")</f>
        <v>grocery</v>
      </c>
      <c r="K522" t="str">
        <f>IFERROR(VLOOKUP(C522,Merchants!$A:$D,4,FALSE),"Merchant not found")</f>
        <v>West</v>
      </c>
    </row>
    <row r="523" spans="1:11" x14ac:dyDescent="0.35">
      <c r="A523" t="s">
        <v>1106</v>
      </c>
      <c r="B523">
        <v>229</v>
      </c>
      <c r="C523">
        <v>31</v>
      </c>
      <c r="D523" t="s">
        <v>1107</v>
      </c>
      <c r="E523">
        <v>299</v>
      </c>
      <c r="F523" t="s">
        <v>90</v>
      </c>
      <c r="G523" t="s">
        <v>91</v>
      </c>
      <c r="H523">
        <v>78</v>
      </c>
      <c r="I523" t="str">
        <f>IFERROR(VLOOKUP(C523,Merchants!$A:$D,2,FALSE),"Merchant not found")</f>
        <v>Merchant_031</v>
      </c>
      <c r="J523" t="str">
        <f>IFERROR(VLOOKUP(C523,Merchants!$A:$D,3,FALSE),"Merchant not found")</f>
        <v>bill_payment</v>
      </c>
      <c r="K523" t="str">
        <f>IFERROR(VLOOKUP(C523,Merchants!$A:$D,4,FALSE),"Merchant not found")</f>
        <v>East</v>
      </c>
    </row>
    <row r="524" spans="1:11" x14ac:dyDescent="0.35">
      <c r="A524" t="s">
        <v>1108</v>
      </c>
      <c r="B524">
        <v>229</v>
      </c>
      <c r="C524">
        <v>27</v>
      </c>
      <c r="D524" t="s">
        <v>1109</v>
      </c>
      <c r="E524">
        <v>299</v>
      </c>
      <c r="F524" t="s">
        <v>90</v>
      </c>
      <c r="G524" t="s">
        <v>65</v>
      </c>
      <c r="H524">
        <v>67</v>
      </c>
      <c r="I524" t="str">
        <f>IFERROR(VLOOKUP(C524,Merchants!$A:$D,2,FALSE),"Merchant not found")</f>
        <v>Merchant_027</v>
      </c>
      <c r="J524" t="str">
        <f>IFERROR(VLOOKUP(C524,Merchants!$A:$D,3,FALSE),"Merchant not found")</f>
        <v>ecommerce</v>
      </c>
      <c r="K524" t="str">
        <f>IFERROR(VLOOKUP(C524,Merchants!$A:$D,4,FALSE),"Merchant not found")</f>
        <v>North</v>
      </c>
    </row>
    <row r="525" spans="1:11" x14ac:dyDescent="0.35">
      <c r="A525" t="s">
        <v>1110</v>
      </c>
      <c r="B525">
        <v>73</v>
      </c>
      <c r="C525">
        <v>22</v>
      </c>
      <c r="D525" t="s">
        <v>1111</v>
      </c>
      <c r="E525">
        <v>399</v>
      </c>
      <c r="F525" t="s">
        <v>90</v>
      </c>
      <c r="G525" t="s">
        <v>91</v>
      </c>
      <c r="H525">
        <v>73</v>
      </c>
      <c r="I525" t="str">
        <f>IFERROR(VLOOKUP(C525,Merchants!$A:$D,2,FALSE),"Merchant not found")</f>
        <v>Merchant_022</v>
      </c>
      <c r="J525" t="str">
        <f>IFERROR(VLOOKUP(C525,Merchants!$A:$D,3,FALSE),"Merchant not found")</f>
        <v>travel</v>
      </c>
      <c r="K525" t="str">
        <f>IFERROR(VLOOKUP(C525,Merchants!$A:$D,4,FALSE),"Merchant not found")</f>
        <v>South</v>
      </c>
    </row>
    <row r="526" spans="1:11" x14ac:dyDescent="0.35">
      <c r="A526" t="s">
        <v>1112</v>
      </c>
      <c r="B526">
        <v>73</v>
      </c>
      <c r="C526">
        <v>34</v>
      </c>
      <c r="D526" t="s">
        <v>1113</v>
      </c>
      <c r="E526">
        <v>399</v>
      </c>
      <c r="F526" t="s">
        <v>90</v>
      </c>
      <c r="G526" t="s">
        <v>91</v>
      </c>
      <c r="H526">
        <v>82</v>
      </c>
      <c r="I526" t="str">
        <f>IFERROR(VLOOKUP(C526,Merchants!$A:$D,2,FALSE),"Merchant not found")</f>
        <v>Merchant_034</v>
      </c>
      <c r="J526" t="str">
        <f>IFERROR(VLOOKUP(C526,Merchants!$A:$D,3,FALSE),"Merchant not found")</f>
        <v>travel</v>
      </c>
      <c r="K526" t="str">
        <f>IFERROR(VLOOKUP(C526,Merchants!$A:$D,4,FALSE),"Merchant not found")</f>
        <v>South</v>
      </c>
    </row>
    <row r="527" spans="1:11" x14ac:dyDescent="0.35">
      <c r="A527" t="s">
        <v>1114</v>
      </c>
      <c r="B527">
        <v>73</v>
      </c>
      <c r="C527">
        <v>31</v>
      </c>
      <c r="D527" t="s">
        <v>1115</v>
      </c>
      <c r="E527">
        <v>299</v>
      </c>
      <c r="F527" t="s">
        <v>90</v>
      </c>
      <c r="G527" t="s">
        <v>91</v>
      </c>
      <c r="H527">
        <v>88</v>
      </c>
      <c r="I527" t="str">
        <f>IFERROR(VLOOKUP(C527,Merchants!$A:$D,2,FALSE),"Merchant not found")</f>
        <v>Merchant_031</v>
      </c>
      <c r="J527" t="str">
        <f>IFERROR(VLOOKUP(C527,Merchants!$A:$D,3,FALSE),"Merchant not found")</f>
        <v>bill_payment</v>
      </c>
      <c r="K527" t="str">
        <f>IFERROR(VLOOKUP(C527,Merchants!$A:$D,4,FALSE),"Merchant not found")</f>
        <v>East</v>
      </c>
    </row>
    <row r="528" spans="1:11" x14ac:dyDescent="0.35">
      <c r="A528" t="s">
        <v>1116</v>
      </c>
      <c r="B528">
        <v>73</v>
      </c>
      <c r="C528">
        <v>29</v>
      </c>
      <c r="D528" t="s">
        <v>1117</v>
      </c>
      <c r="E528">
        <v>399</v>
      </c>
      <c r="F528" t="s">
        <v>90</v>
      </c>
      <c r="G528" t="s">
        <v>65</v>
      </c>
      <c r="H528">
        <v>64</v>
      </c>
      <c r="I528" t="str">
        <f>IFERROR(VLOOKUP(C528,Merchants!$A:$D,2,FALSE),"Merchant not found")</f>
        <v>Merchant_029</v>
      </c>
      <c r="J528" t="str">
        <f>IFERROR(VLOOKUP(C528,Merchants!$A:$D,3,FALSE),"Merchant not found")</f>
        <v>ecommerce</v>
      </c>
      <c r="K528" t="str">
        <f>IFERROR(VLOOKUP(C528,Merchants!$A:$D,4,FALSE),"Merchant not found")</f>
        <v>North</v>
      </c>
    </row>
    <row r="529" spans="1:11" x14ac:dyDescent="0.35">
      <c r="A529" t="s">
        <v>1118</v>
      </c>
      <c r="B529">
        <v>154</v>
      </c>
      <c r="C529">
        <v>8</v>
      </c>
      <c r="D529" t="s">
        <v>1119</v>
      </c>
      <c r="E529">
        <v>299</v>
      </c>
      <c r="F529" t="s">
        <v>90</v>
      </c>
      <c r="G529" t="s">
        <v>91</v>
      </c>
      <c r="H529">
        <v>81</v>
      </c>
      <c r="I529" t="str">
        <f>IFERROR(VLOOKUP(C529,Merchants!$A:$D,2,FALSE),"Merchant not found")</f>
        <v>Merchant_008</v>
      </c>
      <c r="J529" t="str">
        <f>IFERROR(VLOOKUP(C529,Merchants!$A:$D,3,FALSE),"Merchant not found")</f>
        <v>food_delivery</v>
      </c>
      <c r="K529" t="str">
        <f>IFERROR(VLOOKUP(C529,Merchants!$A:$D,4,FALSE),"Merchant not found")</f>
        <v>North</v>
      </c>
    </row>
    <row r="530" spans="1:11" x14ac:dyDescent="0.35">
      <c r="A530" t="s">
        <v>1120</v>
      </c>
      <c r="B530">
        <v>154</v>
      </c>
      <c r="C530">
        <v>7</v>
      </c>
      <c r="D530" t="s">
        <v>1121</v>
      </c>
      <c r="E530">
        <v>499</v>
      </c>
      <c r="F530" t="s">
        <v>90</v>
      </c>
      <c r="G530" t="s">
        <v>91</v>
      </c>
      <c r="H530">
        <v>70</v>
      </c>
      <c r="I530" t="str">
        <f>IFERROR(VLOOKUP(C530,Merchants!$A:$D,2,FALSE),"Merchant not found")</f>
        <v>Merchant_007</v>
      </c>
      <c r="J530" t="str">
        <f>IFERROR(VLOOKUP(C530,Merchants!$A:$D,3,FALSE),"Merchant not found")</f>
        <v>food_delivery</v>
      </c>
      <c r="K530" t="str">
        <f>IFERROR(VLOOKUP(C530,Merchants!$A:$D,4,FALSE),"Merchant not found")</f>
        <v>East</v>
      </c>
    </row>
    <row r="531" spans="1:11" x14ac:dyDescent="0.35">
      <c r="A531" t="s">
        <v>1122</v>
      </c>
      <c r="B531">
        <v>154</v>
      </c>
      <c r="C531">
        <v>16</v>
      </c>
      <c r="D531" t="s">
        <v>1123</v>
      </c>
      <c r="E531">
        <v>499</v>
      </c>
      <c r="F531" t="s">
        <v>90</v>
      </c>
      <c r="G531" t="s">
        <v>91</v>
      </c>
      <c r="H531">
        <v>71</v>
      </c>
      <c r="I531" t="str">
        <f>IFERROR(VLOOKUP(C531,Merchants!$A:$D,2,FALSE),"Merchant not found")</f>
        <v>Merchant_016</v>
      </c>
      <c r="J531" t="str">
        <f>IFERROR(VLOOKUP(C531,Merchants!$A:$D,3,FALSE),"Merchant not found")</f>
        <v>bill_payment</v>
      </c>
      <c r="K531" t="str">
        <f>IFERROR(VLOOKUP(C531,Merchants!$A:$D,4,FALSE),"Merchant not found")</f>
        <v>West</v>
      </c>
    </row>
    <row r="532" spans="1:11" x14ac:dyDescent="0.35">
      <c r="A532" t="s">
        <v>1124</v>
      </c>
      <c r="B532">
        <v>154</v>
      </c>
      <c r="C532">
        <v>36</v>
      </c>
      <c r="D532" t="s">
        <v>1125</v>
      </c>
      <c r="E532">
        <v>299</v>
      </c>
      <c r="F532" t="s">
        <v>90</v>
      </c>
      <c r="G532" t="s">
        <v>65</v>
      </c>
      <c r="H532">
        <v>81</v>
      </c>
      <c r="I532" t="str">
        <f>IFERROR(VLOOKUP(C532,Merchants!$A:$D,2,FALSE),"Merchant not found")</f>
        <v>Merchant_036</v>
      </c>
      <c r="J532" t="str">
        <f>IFERROR(VLOOKUP(C532,Merchants!$A:$D,3,FALSE),"Merchant not found")</f>
        <v>entertainment</v>
      </c>
      <c r="K532" t="str">
        <f>IFERROR(VLOOKUP(C532,Merchants!$A:$D,4,FALSE),"Merchant not found")</f>
        <v>East</v>
      </c>
    </row>
    <row r="533" spans="1:11" x14ac:dyDescent="0.35">
      <c r="A533" t="s">
        <v>1126</v>
      </c>
      <c r="B533">
        <v>287</v>
      </c>
      <c r="C533">
        <v>15</v>
      </c>
      <c r="D533" t="s">
        <v>1127</v>
      </c>
      <c r="E533">
        <v>399</v>
      </c>
      <c r="F533" t="s">
        <v>90</v>
      </c>
      <c r="G533" t="s">
        <v>91</v>
      </c>
      <c r="H533">
        <v>71</v>
      </c>
      <c r="I533" t="str">
        <f>IFERROR(VLOOKUP(C533,Merchants!$A:$D,2,FALSE),"Merchant not found")</f>
        <v>Merchant_015</v>
      </c>
      <c r="J533" t="str">
        <f>IFERROR(VLOOKUP(C533,Merchants!$A:$D,3,FALSE),"Merchant not found")</f>
        <v>travel</v>
      </c>
      <c r="K533" t="str">
        <f>IFERROR(VLOOKUP(C533,Merchants!$A:$D,4,FALSE),"Merchant not found")</f>
        <v>North</v>
      </c>
    </row>
    <row r="534" spans="1:11" x14ac:dyDescent="0.35">
      <c r="A534" t="s">
        <v>1128</v>
      </c>
      <c r="B534">
        <v>287</v>
      </c>
      <c r="C534">
        <v>12</v>
      </c>
      <c r="D534" t="s">
        <v>1129</v>
      </c>
      <c r="E534">
        <v>499</v>
      </c>
      <c r="F534" t="s">
        <v>90</v>
      </c>
      <c r="G534" t="s">
        <v>91</v>
      </c>
      <c r="H534">
        <v>87</v>
      </c>
      <c r="I534" t="str">
        <f>IFERROR(VLOOKUP(C534,Merchants!$A:$D,2,FALSE),"Merchant not found")</f>
        <v>Merchant_012</v>
      </c>
      <c r="J534" t="str">
        <f>IFERROR(VLOOKUP(C534,Merchants!$A:$D,3,FALSE),"Merchant not found")</f>
        <v>ecommerce</v>
      </c>
      <c r="K534" t="str">
        <f>IFERROR(VLOOKUP(C534,Merchants!$A:$D,4,FALSE),"Merchant not found")</f>
        <v>East</v>
      </c>
    </row>
    <row r="535" spans="1:11" x14ac:dyDescent="0.35">
      <c r="A535" t="s">
        <v>1130</v>
      </c>
      <c r="B535">
        <v>287</v>
      </c>
      <c r="C535">
        <v>26</v>
      </c>
      <c r="D535" t="s">
        <v>1131</v>
      </c>
      <c r="E535">
        <v>299</v>
      </c>
      <c r="F535" t="s">
        <v>90</v>
      </c>
      <c r="G535" t="s">
        <v>91</v>
      </c>
      <c r="H535">
        <v>72</v>
      </c>
      <c r="I535" t="str">
        <f>IFERROR(VLOOKUP(C535,Merchants!$A:$D,2,FALSE),"Merchant not found")</f>
        <v>Merchant_026</v>
      </c>
      <c r="J535" t="str">
        <f>IFERROR(VLOOKUP(C535,Merchants!$A:$D,3,FALSE),"Merchant not found")</f>
        <v>food_delivery</v>
      </c>
      <c r="K535" t="str">
        <f>IFERROR(VLOOKUP(C535,Merchants!$A:$D,4,FALSE),"Merchant not found")</f>
        <v>East</v>
      </c>
    </row>
    <row r="536" spans="1:11" x14ac:dyDescent="0.35">
      <c r="A536" t="s">
        <v>1132</v>
      </c>
      <c r="B536">
        <v>287</v>
      </c>
      <c r="C536">
        <v>29</v>
      </c>
      <c r="D536" t="s">
        <v>1133</v>
      </c>
      <c r="E536">
        <v>499</v>
      </c>
      <c r="F536" t="s">
        <v>90</v>
      </c>
      <c r="G536" t="s">
        <v>65</v>
      </c>
      <c r="H536">
        <v>87</v>
      </c>
      <c r="I536" t="str">
        <f>IFERROR(VLOOKUP(C536,Merchants!$A:$D,2,FALSE),"Merchant not found")</f>
        <v>Merchant_029</v>
      </c>
      <c r="J536" t="str">
        <f>IFERROR(VLOOKUP(C536,Merchants!$A:$D,3,FALSE),"Merchant not found")</f>
        <v>ecommerce</v>
      </c>
      <c r="K536" t="str">
        <f>IFERROR(VLOOKUP(C536,Merchants!$A:$D,4,FALSE),"Merchant not found")</f>
        <v>North</v>
      </c>
    </row>
    <row r="537" spans="1:11" x14ac:dyDescent="0.35">
      <c r="A537" t="s">
        <v>1134</v>
      </c>
      <c r="B537">
        <v>200</v>
      </c>
      <c r="C537">
        <v>14</v>
      </c>
      <c r="D537" t="s">
        <v>1135</v>
      </c>
      <c r="E537">
        <v>299</v>
      </c>
      <c r="F537" t="s">
        <v>90</v>
      </c>
      <c r="G537" t="s">
        <v>91</v>
      </c>
      <c r="H537">
        <v>77</v>
      </c>
      <c r="I537" t="str">
        <f>IFERROR(VLOOKUP(C537,Merchants!$A:$D,2,FALSE),"Merchant not found")</f>
        <v>Merchant_014</v>
      </c>
      <c r="J537" t="str">
        <f>IFERROR(VLOOKUP(C537,Merchants!$A:$D,3,FALSE),"Merchant not found")</f>
        <v>grocery</v>
      </c>
      <c r="K537" t="str">
        <f>IFERROR(VLOOKUP(C537,Merchants!$A:$D,4,FALSE),"Merchant not found")</f>
        <v>East</v>
      </c>
    </row>
    <row r="538" spans="1:11" x14ac:dyDescent="0.35">
      <c r="A538" t="s">
        <v>1136</v>
      </c>
      <c r="B538">
        <v>200</v>
      </c>
      <c r="C538">
        <v>5</v>
      </c>
      <c r="D538" t="s">
        <v>1137</v>
      </c>
      <c r="E538">
        <v>499</v>
      </c>
      <c r="F538" t="s">
        <v>90</v>
      </c>
      <c r="G538" t="s">
        <v>91</v>
      </c>
      <c r="H538">
        <v>66</v>
      </c>
      <c r="I538" t="str">
        <f>IFERROR(VLOOKUP(C538,Merchants!$A:$D,2,FALSE),"Merchant not found")</f>
        <v>Merchant_005</v>
      </c>
      <c r="J538" t="str">
        <f>IFERROR(VLOOKUP(C538,Merchants!$A:$D,3,FALSE),"Merchant not found")</f>
        <v>recharge</v>
      </c>
      <c r="K538" t="str">
        <f>IFERROR(VLOOKUP(C538,Merchants!$A:$D,4,FALSE),"Merchant not found")</f>
        <v>South</v>
      </c>
    </row>
    <row r="539" spans="1:11" x14ac:dyDescent="0.35">
      <c r="A539" t="s">
        <v>1138</v>
      </c>
      <c r="B539">
        <v>200</v>
      </c>
      <c r="C539">
        <v>35</v>
      </c>
      <c r="D539" t="s">
        <v>1139</v>
      </c>
      <c r="E539">
        <v>299</v>
      </c>
      <c r="F539" t="s">
        <v>90</v>
      </c>
      <c r="G539" t="s">
        <v>91</v>
      </c>
      <c r="H539">
        <v>83</v>
      </c>
      <c r="I539" t="str">
        <f>IFERROR(VLOOKUP(C539,Merchants!$A:$D,2,FALSE),"Merchant not found")</f>
        <v>Merchant_035</v>
      </c>
      <c r="J539" t="str">
        <f>IFERROR(VLOOKUP(C539,Merchants!$A:$D,3,FALSE),"Merchant not found")</f>
        <v>recharge</v>
      </c>
      <c r="K539" t="str">
        <f>IFERROR(VLOOKUP(C539,Merchants!$A:$D,4,FALSE),"Merchant not found")</f>
        <v>East</v>
      </c>
    </row>
    <row r="540" spans="1:11" x14ac:dyDescent="0.35">
      <c r="A540" t="s">
        <v>1140</v>
      </c>
      <c r="B540">
        <v>200</v>
      </c>
      <c r="C540">
        <v>21</v>
      </c>
      <c r="D540" t="s">
        <v>1141</v>
      </c>
      <c r="E540">
        <v>299</v>
      </c>
      <c r="F540" t="s">
        <v>90</v>
      </c>
      <c r="G540" t="s">
        <v>65</v>
      </c>
      <c r="H540">
        <v>89</v>
      </c>
      <c r="I540" t="str">
        <f>IFERROR(VLOOKUP(C540,Merchants!$A:$D,2,FALSE),"Merchant not found")</f>
        <v>Merchant_021</v>
      </c>
      <c r="J540" t="str">
        <f>IFERROR(VLOOKUP(C540,Merchants!$A:$D,3,FALSE),"Merchant not found")</f>
        <v>food_delivery</v>
      </c>
      <c r="K540" t="str">
        <f>IFERROR(VLOOKUP(C540,Merchants!$A:$D,4,FALSE),"Merchant not found")</f>
        <v>East</v>
      </c>
    </row>
    <row r="541" spans="1:11" x14ac:dyDescent="0.35">
      <c r="A541" t="s">
        <v>1142</v>
      </c>
      <c r="B541">
        <v>59</v>
      </c>
      <c r="C541">
        <v>32</v>
      </c>
      <c r="D541" t="s">
        <v>1143</v>
      </c>
      <c r="E541">
        <v>499</v>
      </c>
      <c r="F541" t="s">
        <v>90</v>
      </c>
      <c r="G541" t="s">
        <v>91</v>
      </c>
      <c r="H541">
        <v>80</v>
      </c>
      <c r="I541" t="str">
        <f>IFERROR(VLOOKUP(C541,Merchants!$A:$D,2,FALSE),"Merchant not found")</f>
        <v>Merchant_032</v>
      </c>
      <c r="J541" t="str">
        <f>IFERROR(VLOOKUP(C541,Merchants!$A:$D,3,FALSE),"Merchant not found")</f>
        <v>food_delivery</v>
      </c>
      <c r="K541" t="str">
        <f>IFERROR(VLOOKUP(C541,Merchants!$A:$D,4,FALSE),"Merchant not found")</f>
        <v>West</v>
      </c>
    </row>
    <row r="542" spans="1:11" x14ac:dyDescent="0.35">
      <c r="A542" t="s">
        <v>1144</v>
      </c>
      <c r="B542">
        <v>59</v>
      </c>
      <c r="C542">
        <v>39</v>
      </c>
      <c r="D542" t="s">
        <v>1145</v>
      </c>
      <c r="E542">
        <v>399</v>
      </c>
      <c r="F542" t="s">
        <v>90</v>
      </c>
      <c r="G542" t="s">
        <v>91</v>
      </c>
      <c r="H542">
        <v>85</v>
      </c>
      <c r="I542" t="str">
        <f>IFERROR(VLOOKUP(C542,Merchants!$A:$D,2,FALSE),"Merchant not found")</f>
        <v>Merchant_039</v>
      </c>
      <c r="J542" t="str">
        <f>IFERROR(VLOOKUP(C542,Merchants!$A:$D,3,FALSE),"Merchant not found")</f>
        <v>entertainment</v>
      </c>
      <c r="K542" t="str">
        <f>IFERROR(VLOOKUP(C542,Merchants!$A:$D,4,FALSE),"Merchant not found")</f>
        <v>North</v>
      </c>
    </row>
    <row r="543" spans="1:11" x14ac:dyDescent="0.35">
      <c r="A543" t="s">
        <v>1146</v>
      </c>
      <c r="B543">
        <v>59</v>
      </c>
      <c r="C543">
        <v>38</v>
      </c>
      <c r="D543" t="s">
        <v>1147</v>
      </c>
      <c r="E543">
        <v>299</v>
      </c>
      <c r="F543" t="s">
        <v>90</v>
      </c>
      <c r="G543" t="s">
        <v>91</v>
      </c>
      <c r="H543">
        <v>82</v>
      </c>
      <c r="I543" t="str">
        <f>IFERROR(VLOOKUP(C543,Merchants!$A:$D,2,FALSE),"Merchant not found")</f>
        <v>Merchant_038</v>
      </c>
      <c r="J543" t="str">
        <f>IFERROR(VLOOKUP(C543,Merchants!$A:$D,3,FALSE),"Merchant not found")</f>
        <v>grocery</v>
      </c>
      <c r="K543" t="str">
        <f>IFERROR(VLOOKUP(C543,Merchants!$A:$D,4,FALSE),"Merchant not found")</f>
        <v>East</v>
      </c>
    </row>
    <row r="544" spans="1:11" x14ac:dyDescent="0.35">
      <c r="A544" t="s">
        <v>1148</v>
      </c>
      <c r="B544">
        <v>59</v>
      </c>
      <c r="C544">
        <v>23</v>
      </c>
      <c r="D544" t="s">
        <v>1149</v>
      </c>
      <c r="E544">
        <v>399</v>
      </c>
      <c r="F544" t="s">
        <v>90</v>
      </c>
      <c r="G544" t="s">
        <v>65</v>
      </c>
      <c r="H544">
        <v>71</v>
      </c>
      <c r="I544" t="str">
        <f>IFERROR(VLOOKUP(C544,Merchants!$A:$D,2,FALSE),"Merchant not found")</f>
        <v>Merchant_023</v>
      </c>
      <c r="J544" t="str">
        <f>IFERROR(VLOOKUP(C544,Merchants!$A:$D,3,FALSE),"Merchant not found")</f>
        <v>travel</v>
      </c>
      <c r="K544" t="str">
        <f>IFERROR(VLOOKUP(C544,Merchants!$A:$D,4,FALSE),"Merchant not found")</f>
        <v>North</v>
      </c>
    </row>
    <row r="545" spans="1:11" x14ac:dyDescent="0.35">
      <c r="A545" t="s">
        <v>1150</v>
      </c>
      <c r="B545">
        <v>345</v>
      </c>
      <c r="C545">
        <v>40</v>
      </c>
      <c r="D545" t="s">
        <v>1151</v>
      </c>
      <c r="E545">
        <v>499</v>
      </c>
      <c r="F545" t="s">
        <v>90</v>
      </c>
      <c r="G545" t="s">
        <v>91</v>
      </c>
      <c r="H545">
        <v>65</v>
      </c>
      <c r="I545" t="str">
        <f>IFERROR(VLOOKUP(C545,Merchants!$A:$D,2,FALSE),"Merchant not found")</f>
        <v>Merchant_040</v>
      </c>
      <c r="J545" t="str">
        <f>IFERROR(VLOOKUP(C545,Merchants!$A:$D,3,FALSE),"Merchant not found")</f>
        <v>entertainment</v>
      </c>
      <c r="K545" t="str">
        <f>IFERROR(VLOOKUP(C545,Merchants!$A:$D,4,FALSE),"Merchant not found")</f>
        <v>South</v>
      </c>
    </row>
    <row r="546" spans="1:11" x14ac:dyDescent="0.35">
      <c r="A546" t="s">
        <v>1152</v>
      </c>
      <c r="B546">
        <v>345</v>
      </c>
      <c r="C546">
        <v>9</v>
      </c>
      <c r="D546" t="s">
        <v>1153</v>
      </c>
      <c r="E546">
        <v>399</v>
      </c>
      <c r="F546" t="s">
        <v>90</v>
      </c>
      <c r="G546" t="s">
        <v>91</v>
      </c>
      <c r="H546">
        <v>67</v>
      </c>
      <c r="I546" t="str">
        <f>IFERROR(VLOOKUP(C546,Merchants!$A:$D,2,FALSE),"Merchant not found")</f>
        <v>Merchant_009</v>
      </c>
      <c r="J546" t="str">
        <f>IFERROR(VLOOKUP(C546,Merchants!$A:$D,3,FALSE),"Merchant not found")</f>
        <v>ecommerce</v>
      </c>
      <c r="K546" t="str">
        <f>IFERROR(VLOOKUP(C546,Merchants!$A:$D,4,FALSE),"Merchant not found")</f>
        <v>North</v>
      </c>
    </row>
    <row r="547" spans="1:11" x14ac:dyDescent="0.35">
      <c r="A547" t="s">
        <v>1154</v>
      </c>
      <c r="B547">
        <v>345</v>
      </c>
      <c r="C547">
        <v>16</v>
      </c>
      <c r="D547" t="s">
        <v>1155</v>
      </c>
      <c r="E547">
        <v>399</v>
      </c>
      <c r="F547" t="s">
        <v>90</v>
      </c>
      <c r="G547" t="s">
        <v>91</v>
      </c>
      <c r="H547">
        <v>67</v>
      </c>
      <c r="I547" t="str">
        <f>IFERROR(VLOOKUP(C547,Merchants!$A:$D,2,FALSE),"Merchant not found")</f>
        <v>Merchant_016</v>
      </c>
      <c r="J547" t="str">
        <f>IFERROR(VLOOKUP(C547,Merchants!$A:$D,3,FALSE),"Merchant not found")</f>
        <v>bill_payment</v>
      </c>
      <c r="K547" t="str">
        <f>IFERROR(VLOOKUP(C547,Merchants!$A:$D,4,FALSE),"Merchant not found")</f>
        <v>West</v>
      </c>
    </row>
    <row r="548" spans="1:11" x14ac:dyDescent="0.35">
      <c r="A548" t="s">
        <v>1156</v>
      </c>
      <c r="B548">
        <v>345</v>
      </c>
      <c r="C548">
        <v>12</v>
      </c>
      <c r="D548" t="s">
        <v>1157</v>
      </c>
      <c r="E548">
        <v>399</v>
      </c>
      <c r="F548" t="s">
        <v>90</v>
      </c>
      <c r="G548" t="s">
        <v>65</v>
      </c>
      <c r="H548">
        <v>69</v>
      </c>
      <c r="I548" t="str">
        <f>IFERROR(VLOOKUP(C548,Merchants!$A:$D,2,FALSE),"Merchant not found")</f>
        <v>Merchant_012</v>
      </c>
      <c r="J548" t="str">
        <f>IFERROR(VLOOKUP(C548,Merchants!$A:$D,3,FALSE),"Merchant not found")</f>
        <v>ecommerce</v>
      </c>
      <c r="K548" t="str">
        <f>IFERROR(VLOOKUP(C548,Merchants!$A:$D,4,FALSE),"Merchant not found")</f>
        <v>East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1" sqref="D1"/>
    </sheetView>
  </sheetViews>
  <sheetFormatPr defaultRowHeight="14.5" x14ac:dyDescent="0.35"/>
  <cols>
    <col min="4" max="4" width="10.54296875" customWidth="1"/>
  </cols>
  <sheetData>
    <row r="1" spans="1:4" x14ac:dyDescent="0.35">
      <c r="A1" t="s">
        <v>68</v>
      </c>
      <c r="B1" t="s">
        <v>64</v>
      </c>
      <c r="C1" t="s">
        <v>90</v>
      </c>
      <c r="D1" t="s">
        <v>73</v>
      </c>
    </row>
    <row r="2" spans="1:4" x14ac:dyDescent="0.35">
      <c r="A2">
        <v>0.3</v>
      </c>
      <c r="B2">
        <v>0.8</v>
      </c>
      <c r="C2">
        <v>1.5</v>
      </c>
      <c r="D2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Merchants</vt:lpstr>
      <vt:lpstr>Transactions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Rutvika Sangidwar</cp:lastModifiedBy>
  <dcterms:created xsi:type="dcterms:W3CDTF">2026-08-07T09:56:58Z</dcterms:created>
  <dcterms:modified xsi:type="dcterms:W3CDTF">2026-08-07T09:59:46Z</dcterms:modified>
</cp:coreProperties>
</file>